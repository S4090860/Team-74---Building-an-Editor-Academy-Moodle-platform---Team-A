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9cc5c6b0a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f3db5a9248f4aee"/>
    <x:sheet xmlns:r="http://schemas.openxmlformats.org/officeDocument/2006/relationships" name="Task Plan &amp; Gantt" sheetId="2" r:id="R284cfe6ab2f844e8"/>
    <x:sheet xmlns:r="http://schemas.openxmlformats.org/officeDocument/2006/relationships" name="Weekly Workload Check" sheetId="3" r:id="R7fd9bdb7d302431f"/>
  </x:sheets>
</x:workbook>
</file>

<file path=xl/sharedStrings.xml><?xml version="1.0" encoding="utf-8"?>
<x:sst xmlns:x="http://schemas.openxmlformats.org/spreadsheetml/2006/main">
  <x:si>
    <x:t xml:space="preserve">Sprint Planning — Instructions &amp; Legend</x:t>
  </x:si>
  <x:si>
    <x:t xml:space="preserve">COSC2408 Programming Project 1</x:t>
  </x:si>
  <x:si>
    <x:t xml:space="preserve">What this workbook is for</x:t>
  </x:si>
  <x:si>
    <x:t xml:space="preserve">This is the detailed HOW for next sprint — the task-by-task breakdown, owner, timing and sequencing. It is a separate deliverable from your Sprint Playback slide 7 ("What's Next"), which only states WHAT you're promising. This workbook is where that promise gets broken down into real, assigned, time-estimated tasks.</x:t>
  </x:si>
  <x:si>
    <x:t xml:space="preserve">The 240-minute rule</x:t>
  </x:si>
  <x:si>
    <x:t xml:space="preserve">Every team member must be assigned at least 240 minutes (4 hours) of tasks per week, for every week of the upcoming sprint. Estimate time at a junior-practitioner level — the same standard used for your weekly task board (e.g. a straightforward API endpoint with tests is ~30 minutes, regardless of how long it actually takes you in practice). The Weekly Workload Check tab totals this automatically and flags anyone under the minimum.</x:t>
  </x:si>
  <x:si>
    <x:t xml:space="preserve">How to use the Task Plan &amp; Gantt tab</x:t>
  </x:si>
  <x:si>
    <x:t xml:space="preserve">1.  Delete the yellow example row once you understand the format — it is not a real task.</x:t>
  </x:si>
  <x:si>
    <x:t xml:space="preserve">2.  Add one row per task: name it, assign an Owner, estimate the minutes, set the Week (1–3), the Start Day WITHIN that week (1 = Monday, 5 = Friday) and the Duration in days.</x:t>
  </x:si>
  <x:si>
    <x:t xml:space="preserve">3.  The Gantt bar on the right fills in automatically based on Start Day and Duration — you don't edit it directly.</x:t>
  </x:si>
  <x:si>
    <x:t xml:space="preserve">4.  Use Dependencies to note if a task can't start until another Task ID is done.</x:t>
  </x:si>
  <x:si>
    <x:t xml:space="preserve">5.  Update Status as the sprint progresses — this tab doubles as your working plan, not just a one-off submission.</x:t>
  </x:si>
  <x:si>
    <x:t xml:space="preserve">Editable vs computed</x:t>
  </x:si>
  <x:si>
    <x:r>
      <x:t xml:space="preserve">Only the white cells in the Task Plan &amp; Gantt tab are for you to fill in (Task ID through Status). The Gantt bars and everything on the Weekly Workload Check tab are computed automatically — don't type into them. </x:t>
    </x:r>
    <x:r>
      <x:rPr>
        <x:b/>
        <x:sz val="11"/>
        <x:color rgb="FFFF0000"/>
        <x:rFont val="Arial"/>
        <x:family val="2"/>
      </x:rPr>
      <x:t xml:space="preserve">You can change the roles by maunally typing into Column C (owner) and then using the same valueein the Weekly Workload check</x:t>
    </x:r>
  </x:si>
  <x:si>
    <x:t xml:space="preserve">Submission</x:t>
  </x:si>
  <x:si>
    <x:t xml:space="preserve">Rename this file  x - team name - S1W7_ganttplan  (e.g. 90 - Food Delivery System - S1W7_ganttplan) and submit alongside your other Week 7 files. It plans the upcoming sprint, so it's due the same week as your Playback.</x:t>
  </x:si>
  <x:si>
    <x:t xml:space="preserve">Colour key</x:t>
  </x:si>
  <x:si>
    <x:t xml:space="preserve">   Example row — delete before submitting</x:t>
  </x:si>
  <x:si>
    <x:t xml:space="preserve">   Weekly Workload Check: meets the 240-minute minimum</x:t>
  </x:si>
  <x:si>
    <x:t xml:space="preserve">   Weekly Workload Check: under the 240-minute minimum</x:t>
  </x:si>
  <x:si>
    <x:t xml:space="preserve">Every member needs ≥240 min/week. See the Instructions tab before editing.</x:t>
  </x:si>
  <x:si>
    <x:t xml:space="preserve">Task ID</x:t>
  </x:si>
  <x:si>
    <x:t xml:space="preserve">Task Name</x:t>
  </x:si>
  <x:si>
    <x:t xml:space="preserve">Owner</x:t>
  </x:si>
  <x:si>
    <x:t xml:space="preserve">Est. Minutes</x:t>
  </x:si>
  <x:si>
    <x:t xml:space="preserve">Week</x:t>
  </x:si>
  <x:si>
    <x:t xml:space="preserve">Start Day
(1=Mon–5=Fri)</x:t>
  </x:si>
  <x:si>
    <x:t xml:space="preserve">Duration (days)</x:t>
  </x:si>
  <x:si>
    <x:t xml:space="preserve">Dependencies</x:t>
  </x:si>
  <x:si>
    <x:t xml:space="preserve">Week 1</x:t>
  </x:si>
  <x:si>
    <x:t xml:space="preserve">Week 2</x:t>
  </x:si>
  <x:si>
    <x:t xml:space="preserve">Week 3</x:t>
  </x:si>
  <x:si>
    <x:t xml:space="preserve">Mon</x:t>
  </x:si>
  <x:si>
    <x:t xml:space="preserve">Tue</x:t>
  </x:si>
  <x:si>
    <x:t xml:space="preserve">Wed</x:t>
  </x:si>
  <x:si>
    <x:t xml:space="preserve">Thu</x:t>
  </x:si>
  <x:si>
    <x:t xml:space="preserve">Fri</x:t>
  </x:si>
  <x:si>
    <x:t xml:space="preserve">Weekly Workload Check — 240 min (4 hrs) minimum per person, per week</x:t>
  </x:si>
  <x:si>
    <x:t xml:space="preserve">Computed automatically from the Task Plan &amp; Gantt tab. Do not edit the numbers directly.</x:t>
  </x:si>
  <x:si>
    <x:t xml:space="preserve">Role</x:t>
  </x:si>
  <x:si>
    <x:t xml:space="preserve">Week 1 (min)</x:t>
  </x:si>
  <x:si>
    <x:t xml:space="preserve">Week 2 (min)</x:t>
  </x:si>
  <x:si>
    <x:t xml:space="preserve">Week 3 (min)</x:t>
  </x:si>
  <x:si>
    <x:t xml:space="preserve">Sprint Total (min)</x:t>
  </x:si>
  <x:si>
    <x:t xml:space="preserve">Sprint Total (hrs)</x:t>
  </x:si>
  <x:si>
    <x:t xml:space="preserve">Green = meets the 240-minute weekly minimum. Red = under the minimum — rebalance tasks in the Task Plan &amp; Gantt tab.</x:t>
  </x:si>
</x:sst>
</file>

<file path=xl/styles.xml><?xml version="1.0" encoding="utf-8"?>
<x:styleSheet xmlns:x="http://schemas.openxmlformats.org/spreadsheetml/2006/main">
  <x:numFmts count="1">
    <x:numFmt numFmtId="164" formatCode="0.0"/>
  </x:numFmts>
  <x:fonts count="17">
    <x:font>
      <x:sz val="11"/>
      <x:color theme="1"/>
      <x:name val="Calibri"/>
    </x:font>
    <x:font>
      <x:b/>
      <x:sz val="16"/>
      <x:color rgb="FF1A1A1A"/>
      <x:name val="Arial"/>
    </x:font>
    <x:font>
      <x:sz val="10"/>
      <x:color rgb="FF7F7F7F"/>
      <x:name val="Arial"/>
    </x:font>
    <x:font>
      <x:b/>
      <x:sz val="12"/>
      <x:color rgb="FFE4002B"/>
      <x:name val="Arial"/>
    </x:font>
    <x:font>
      <x:sz val="11"/>
      <x:color rgb="FF1A1A1A"/>
      <x:name val="Arial"/>
    </x:font>
    <x:font>
      <x:b/>
      <x:sz val="14"/>
      <x:color rgb="FF1A1A1A"/>
      <x:name val="Arial"/>
    </x:font>
    <x:font>
      <x:i/>
      <x:sz val="10"/>
      <x:color rgb="FFE4002B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8"/>
      <x:color rgb="FF7F7F7F"/>
      <x:name val="Arial"/>
    </x:font>
    <x:font>
      <x:sz val="10"/>
      <x:color rgb="FF1A1A1A"/>
      <x:name val="Arial"/>
    </x:font>
    <x:font>
      <x:b/>
      <x:sz val="13"/>
      <x:color rgb="FF1A1A1A"/>
      <x:name val="Arial"/>
    </x:font>
    <x:font>
      <x:i/>
      <x:sz val="10"/>
      <x:color rgb="FF7F7F7F"/>
      <x:name val="Arial"/>
    </x:font>
    <x:font>
      <x:b/>
      <x:sz val="10"/>
      <x:color rgb="FF1A1A1A"/>
      <x:name val="Arial"/>
    </x:font>
    <x:font>
      <x:i/>
      <x:sz val="9"/>
      <x:color rgb="FF7F7F7F"/>
      <x:name val="Arial"/>
    </x:font>
    <x:font>
      <x:b/>
      <x:sz val="11"/>
      <x:color rgb="FFFF0000"/>
      <x:name val="Arial"/>
    </x:font>
    <x:font>
      <x:sz val="11"/>
      <x:color rgb="FF1A1A1A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6CC"/>
      </x:patternFill>
    </x:fill>
    <x:fill>
      <x:patternFill patternType="solid">
        <x:fgColor rgb="FFC6EFCE"/>
      </x:patternFill>
    </x:fill>
    <x:fill>
      <x:patternFill patternType="solid">
        <x:fgColor rgb="FFFDE2E2"/>
      </x:patternFill>
    </x:fill>
    <x:fill>
      <x:patternFill patternType="solid">
        <x:fgColor rgb="FF1A1A1A"/>
      </x:patternFill>
    </x:fill>
    <x:fill>
      <x:patternFill patternType="solid">
        <x:fgColor rgb="FFE4002B"/>
      </x:patternFill>
    </x:fill>
    <x:fill>
      <x:patternFill patternType="solid">
        <x:fgColor rgb="FF7F7F7F"/>
      </x:patternFill>
    </x:fill>
    <x:fill>
      <x:patternFill patternType="solid">
        <x:fgColor rgb="FFF5F5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14" fillId="0" borderId="0" xfId="0" applyFont="1" applyAlignment="1">
      <x:alignment vertical="top" wrapText="1"/>
    </x:xf>
    <x:xf numFmtId="0" fontId="12" fillId="0" borderId="0" xfId="0" applyFont="1"/>
    <x:xf numFmtId="0" fontId="11" fillId="0" borderId="0" xfId="0" applyFont="1"/>
    <x:xf numFmtId="0" fontId="7" fillId="5" borderId="0" xfId="0" applyFont="1" applyFill="1" applyAlignment="1">
      <x:alignment horizontal="center" vertical="center"/>
    </x:xf>
    <x:xf numFmtId="0" fontId="7" fillId="6" borderId="0" xfId="0" applyFont="1" applyFill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 wrapText="1"/>
    </x:xf>
    <x:xf numFmtId="0" fontId="6" fillId="0" borderId="0" xfId="0" applyFont="1"/>
    <x:xf numFmtId="0" fontId="5" fillId="0" borderId="0" xfId="0" applyFont="1"/>
    <x:xf numFmtId="0" fontId="1" fillId="0" borderId="0" xfId="0" applyFont="1"/>
    <x:xf numFmtId="0" fontId="2" fillId="0" borderId="0" xfId="0" applyFont="1"/>
    <x:xf numFmtId="0" fontId="3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4" fillId="2" borderId="0" xfId="0" applyFont="1" applyFill="1" applyAlignment="1">
      <x:alignment vertical="center"/>
    </x:xf>
    <x:xf numFmtId="0" fontId="4" fillId="3" borderId="0" xfId="0" applyFont="1" applyFill="1" applyAlignment="1">
      <x:alignment vertical="center"/>
    </x:xf>
    <x:xf numFmtId="0" fontId="4" fillId="4" borderId="0" xfId="0" applyFont="1" applyFill="1" applyAlignment="1">
      <x:alignment vertical="center"/>
    </x:xf>
    <x:xf numFmtId="0" fontId="7" fillId="5" borderId="1" xfId="0" applyFont="1" applyFill="1" applyBorder="1" applyAlignment="1">
      <x:alignment horizontal="center" vertical="center" wrapText="1"/>
    </x:xf>
    <x:xf numFmtId="0" fontId="8" fillId="7" borderId="0" xfId="0" applyFont="1" applyFill="1" applyAlignment="1">
      <x:alignment horizontal="center" vertical="center"/>
    </x:xf>
    <x:xf numFmtId="0" fontId="9" fillId="8" borderId="1" xfId="0" applyFont="1" applyFill="1" applyBorder="1" applyAlignment="1">
      <x:alignment horizontal="center" vertical="center"/>
    </x:xf>
    <x:xf numFmtId="0" fontId="10" fillId="2" borderId="1" xfId="0" applyFont="1" applyFill="1" applyBorder="1" applyAlignment="1">
      <x:alignment horizontal="center" vertical="center"/>
    </x:xf>
    <x:xf numFmtId="0" fontId="10" fillId="2" borderId="1" xfId="0" applyFont="1" applyFill="1" applyBorder="1" applyAlignment="1">
      <x:alignment horizontal="left" vertical="center" wrapText="1"/>
    </x:xf>
    <x:xf numFmtId="0" fontId="10" fillId="2" borderId="1" xfId="0" applyFont="1" applyFill="1" applyBorder="1" applyAlignment="1">
      <x:alignment horizontal="left" vertical="center"/>
    </x:xf>
    <x:xf numFmtId="0" fontId="0" fillId="9" borderId="1" xfId="0" applyFill="1" applyBorder="1"/>
    <x:xf numFmtId="0" fontId="0" fillId="9" borderId="1" xfId="0" applyFill="1" applyBorder="1" applyAlignment="1">
      <x:alignment horizontal="center"/>
    </x:xf>
    <x:xf numFmtId="0" fontId="13" fillId="0" borderId="1" xfId="0" applyFont="1" applyBorder="1"/>
    <x:xf numFmtId="0" fontId="10" fillId="0" borderId="1" xfId="0" applyFont="1" applyBorder="1" applyAlignment="1">
      <x:alignment horizontal="center"/>
    </x:xf>
    <x:xf numFmtId="0" fontId="13" fillId="0" borderId="1" xfId="0" applyFont="1" applyBorder="1" applyAlignment="1">
      <x:alignment horizontal="center"/>
    </x:xf>
    <x:xf numFmtId="164" fontId="10" fillId="0" borderId="1" xfId="0" applyNumberFormat="1" applyFont="1" applyBorder="1" applyAlignment="1">
      <x:alignment horizontal="center"/>
    </x:xf>
    <x:xf numFmtId="0" fontId="16" fillId="0" borderId="0" xfId="0" applyFont="1" applyAlignment="1">
      <x:alignment vertical="top" wrapText="1"/>
    </x:xf>
    <x:xf numFmtId="0" fontId="0" fillId="0" borderId="2" xfId="0" applyNumberFormat="1" applyFont="1" applyFill="1" applyBorder="1"/>
    <x:xf numFmtId="0" fontId="14" fillId="0" borderId="2" xfId="0" applyNumberFormat="1" applyFont="1" applyFill="1" applyBorder="1" applyAlignment="1">
      <x:alignment vertical="top" wrapText="1"/>
    </x:xf>
    <x:xf numFmtId="0" fontId="12" fillId="0" borderId="2" xfId="0" applyNumberFormat="1" applyFont="1" applyFill="1" applyBorder="1"/>
    <x:xf numFmtId="0" fontId="11" fillId="0" borderId="2" xfId="0" applyNumberFormat="1" applyFont="1" applyFill="1" applyBorder="1"/>
    <x:xf numFmtId="0" fontId="7" fillId="5" borderId="2" xfId="0" applyNumberFormat="1" applyFont="1" applyFill="1" applyBorder="1" applyAlignment="1">
      <x:alignment horizontal="center" vertic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/>
    <x:xf numFmtId="0" fontId="5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8" fillId="7" borderId="2" xfId="0" applyNumberFormat="1" applyFont="1" applyFill="1" applyBorder="1" applyAlignment="1">
      <x:alignment horizontal="center" vertical="center"/>
    </x:xf>
    <x:xf numFmtId="0" fontId="9" fillId="8" borderId="3" xfId="0" applyNumberFormat="1" applyFont="1" applyFill="1" applyBorder="1" applyAlignment="1">
      <x:alignment horizontal="center" vertical="center"/>
    </x:xf>
    <x:xf numFmtId="0" fontId="10" fillId="2" borderId="3" xfId="0" applyNumberFormat="1" applyFont="1" applyFill="1" applyBorder="1" applyAlignment="1">
      <x:alignment horizontal="center" vertical="center"/>
    </x:xf>
    <x:xf numFmtId="0" fontId="10" fillId="2" borderId="3" xfId="0" applyNumberFormat="1" applyFont="1" applyFill="1" applyBorder="1" applyAlignment="1">
      <x:alignment horizontal="left" vertical="center" wrapText="1"/>
    </x:xf>
    <x:xf numFmtId="0" fontId="10" fillId="2" borderId="3" xfId="0" applyNumberFormat="1" applyFont="1" applyFill="1" applyBorder="1" applyAlignment="1">
      <x:alignment horizontal="left" vertical="center"/>
    </x:xf>
    <x:xf numFmtId="0" fontId="0" fillId="9" borderId="3" xfId="0" applyNumberFormat="1" applyFont="1" applyFill="1" applyBorder="1"/>
    <x:xf numFmtId="0" fontId="0" fillId="9" borderId="3" xfId="0" applyNumberFormat="1" applyFont="1" applyFill="1" applyBorder="1" applyAlignment="1">
      <x:alignment horizontal="center"/>
    </x:xf>
    <x:xf numFmtId="0" fontId="13" fillId="0" borderId="3" xfId="0" applyNumberFormat="1" applyFont="1" applyFill="1" applyBorder="1"/>
    <x:xf numFmtId="0" fontId="10" fillId="0" borderId="3" xfId="0" applyNumberFormat="1" applyFont="1" applyFill="1" applyBorder="1" applyAlignment="1">
      <x:alignment horizontal="center"/>
    </x:xf>
    <x:xf numFmtId="0" fontId="13" fillId="0" borderId="3" xfId="0" applyNumberFormat="1" applyFont="1" applyFill="1" applyBorder="1" applyAlignment="1">
      <x:alignment horizontal="center"/>
    </x:xf>
    <x:xf numFmtId="164" fontId="10" fillId="0" borderId="3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0" fontId="0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0" fillId="2" borderId="3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9" borderId="1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9" borderId="3" xfId="0" applyNumberFormat="1" applyFont="1" applyFill="1" applyBorder="1" applyAlignment="1">
      <x:alignment horizontal="left" wrapText="1"/>
    </x:xf>
    <x:xf numFmtId="0" fontId="0" fillId="0" borderId="2" xfId="0" applyNumberFormat="1" applyFont="1" applyFill="1" applyBorder="1" applyAlignment="1">
      <x:alignment horizontal="left" wrapText="1"/>
    </x:xf>
    <x:xf numFmtId="0" fontId="0" fillId="9" borderId="1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9" borderId="3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vertical="center" wrapText="1"/>
    </x:xf>
    <x:xf numFmtId="0" fontId="0" fillId="9" borderId="3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left" vertical="center"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3" xfId="0" applyNumberFormat="1" applyFont="1" applyFill="1" applyBorder="1" applyAlignment="1">
      <x:alignment wrapText="1"/>
    </x:xf>
    <x:xf numFmtId="0" fontId="10" fillId="10" borderId="1" xfId="0" applyNumberFormat="1" applyFont="1" applyFill="1" applyBorder="1" applyAlignment="1">
      <x:alignment horizontal="center" vertical="center" wrapText="1"/>
    </x:xf>
    <x:xf numFmtId="0" fontId="10" fillId="1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4">
    <x:dxf>
      <x:fill>
        <x:patternFill>
          <x:bgColor rgb="FFFDE2E2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E4002B"/>
        </x:patternFill>
      </x:fill>
    </x:dxf>
    <x:dxf>
      <x:fill>
        <x:patternFill patternType="solid">
          <x:bgColor rgb="FFE4002B"/>
        </x:patternFill>
      </x:fill>
    </x:dxf>
  </x:dxfs>
  <x:colors>
    <x:indexedColors>
      <x:rgbColor rgb="FF000000"/>
      <x:rgbColor rgb="FFFFFFFF"/>
      <x:rgbColor rgb="FFE4002B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7F7F7F"/>
      <x:rgbColor rgb="FF9999FF"/>
      <x:rgbColor rgb="FF993366"/>
      <x:rgbColor rgb="FFFFF6CC"/>
      <x:rgbColor rgb="FFF5F5F5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FCE"/>
      <x:rgbColor rgb="FFFFFF99"/>
      <x:rgbColor rgb="FF99CCFF"/>
      <x:rgbColor rgb="FFFF99CC"/>
      <x:rgbColor rgb="FFCC99FF"/>
      <x:rgbColor rgb="FFFDE2E2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1A1A1A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f920c7288446b" /><Relationship Type="http://schemas.openxmlformats.org/officeDocument/2006/relationships/theme" Target="/xl/theme/theme1.xml" Id="R69033b216b674e72" /><Relationship Type="http://schemas.openxmlformats.org/officeDocument/2006/relationships/sharedStrings" Target="/xl/sharedStrings.xml" Id="R45fc8f643f2d4d01" /><Relationship Type="http://schemas.openxmlformats.org/officeDocument/2006/relationships/worksheet" Target="/xl/worksheets/sheet1.xml" Id="R2f3db5a9248f4aee" /><Relationship Type="http://schemas.openxmlformats.org/officeDocument/2006/relationships/worksheet" Target="/xl/worksheets/sheet2.xml" Id="R284cfe6ab2f844e8" /><Relationship Type="http://schemas.openxmlformats.org/officeDocument/2006/relationships/worksheet" Target="/xl/worksheets/sheet3.xml" Id="R7fd9bdb7d302431f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7109375" defaultRowHeight="15"/>
  <x:cols>
    <x:col min="1" max="1" width="3" customWidth="1"/>
    <x:col min="2" max="2" width="78" customWidth="1"/>
  </x:cols>
  <x:sheetData>
    <x:row r="2" ht="20.25">
      <x:c r="B2" s="9" t="s">
        <x:v>0</x:v>
      </x:c>
    </x:row>
    <x:row r="3">
      <x:c r="B3" s="10" t="s">
        <x:v>1</x:v>
      </x:c>
    </x:row>
    <x:row r="5" ht="15.75">
      <x:c r="B5" s="11" t="s">
        <x:v>2</x:v>
      </x:c>
    </x:row>
    <x:row r="6" ht="71.25">
      <x:c r="B6" s="12" t="s">
        <x:v>3</x:v>
      </x:c>
    </x:row>
    <x:row r="8" ht="15.75">
      <x:c r="B8" s="11" t="s">
        <x:v>4</x:v>
      </x:c>
    </x:row>
    <x:row r="9" ht="85.5">
      <x:c r="B9" s="12" t="s">
        <x:v>5</x:v>
      </x:c>
    </x:row>
    <x:row r="11" ht="15.75">
      <x:c r="B11" s="11" t="s">
        <x:v>6</x:v>
      </x:c>
    </x:row>
    <x:row r="12" ht="28.5">
      <x:c r="B12" s="12" t="s">
        <x:v>7</x:v>
      </x:c>
    </x:row>
    <x:row r="13" ht="42.75">
      <x:c r="B13" s="12" t="s">
        <x:v>8</x:v>
      </x:c>
    </x:row>
    <x:row r="14" ht="28.5">
      <x:c r="B14" s="12" t="s">
        <x:v>9</x:v>
      </x:c>
    </x:row>
    <x:row r="15">
      <x:c r="B15" s="12" t="s">
        <x:v>10</x:v>
      </x:c>
    </x:row>
    <x:row r="16" ht="28.5">
      <x:c r="B16" s="12" t="s">
        <x:v>11</x:v>
      </x:c>
    </x:row>
    <x:row r="18" ht="15.75">
      <x:c r="B18" s="11" t="s">
        <x:v>12</x:v>
      </x:c>
    </x:row>
    <x:row r="19" ht="73.5">
      <x:c r="B19" s="28" t="s">
        <x:v>13</x:v>
      </x:c>
    </x:row>
    <x:row r="21" ht="15.75">
      <x:c r="B21" s="11" t="s">
        <x:v>14</x:v>
      </x:c>
    </x:row>
    <x:row r="22" ht="42.75">
      <x:c r="B22" s="28" t="s">
        <x:v>15</x:v>
      </x:c>
    </x:row>
    <x:row r="24" ht="15.75">
      <x:c r="B24" s="11" t="s">
        <x:v>16</x:v>
      </x:c>
    </x:row>
    <x:row r="25" ht="19.5" customHeight="1">
      <x:c r="B25" s="13" t="s">
        <x:v>17</x:v>
      </x:c>
    </x:row>
    <x:row r="26" ht="19.5" customHeight="1">
      <x:c r="B26" s="14" t="s">
        <x:v>18</x:v>
      </x:c>
    </x:row>
    <x:row r="27" ht="19.5" customHeight="1">
      <x:c r="B27" s="15" t="s">
        <x:v>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7109375" defaultRowHeight="15"/>
  <x:cols>
    <x:col min="1" max="1" width="9" customWidth="1"/>
    <x:col min="2" max="2" width="26" customWidth="1"/>
    <x:col min="3" max="3" width="13" customWidth="1"/>
    <x:col min="4" max="4" width="11" customWidth="1"/>
    <x:col min="5" max="5" width="7" customWidth="1"/>
    <x:col min="6" max="6" width="9" customWidth="1"/>
    <x:col min="7" max="7" width="12" customWidth="1"/>
    <x:col min="8" max="8" width="13" customWidth="1"/>
    <x:col min="9" max="23" width="3.140625" customWidth="1"/>
  </x:cols>
  <x:sheetData>
    <x:row r="1" ht="21.75" customHeight="1">
      <x:c r="A1" s="8" t="str">
        <x:v>Team 74 — Next-Sprint Task Plan &amp; Gantt   |   Sprint 3 (Weeks 1–3)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</x:row>
    <x:row r="2">
      <x:c r="A2" s="7" t="s">
        <x:v>20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4" ht="15.75" customHeight="1">
      <x:c r="A4" s="6" t="s">
        <x:v>21</x:v>
      </x:c>
      <x:c r="B4" s="6" t="s">
        <x:v>22</x:v>
      </x:c>
      <x:c r="C4" s="6" t="s">
        <x:v>23</x:v>
      </x:c>
      <x:c r="D4" s="6" t="s">
        <x:v>24</x:v>
      </x:c>
      <x:c r="E4" s="6" t="s">
        <x:v>25</x:v>
      </x:c>
      <x:c r="F4" s="6" t="s">
        <x:v>26</x:v>
      </x:c>
      <x:c r="G4" s="6" t="s">
        <x:v>27</x:v>
      </x:c>
      <x:c r="H4" s="6" t="s">
        <x:v>28</x:v>
      </x:c>
      <x:c r="I4" s="5" t="s">
        <x:v>29</x:v>
      </x:c>
      <x:c r="J4" s="5"/>
      <x:c r="K4" s="5"/>
      <x:c r="L4" s="5"/>
      <x:c r="M4" s="5"/>
      <x:c r="N4" s="4" t="s">
        <x:v>30</x:v>
      </x:c>
      <x:c r="O4" s="4"/>
      <x:c r="P4" s="4"/>
      <x:c r="Q4" s="4"/>
      <x:c r="R4" s="4"/>
      <x:c r="S4" s="5" t="s">
        <x:v>31</x:v>
      </x:c>
      <x:c r="T4" s="5"/>
      <x:c r="U4" s="5"/>
      <x:c r="V4" s="5"/>
      <x:c r="W4" s="5"/>
    </x:row>
    <x:row r="5" ht="13.5" customHeight="1">
      <x:c r="A5" s="6"/>
      <x:c r="B5" s="6"/>
      <x:c r="C5" s="6"/>
      <x:c r="D5" s="6"/>
      <x:c r="E5" s="6"/>
      <x:c r="F5" s="6"/>
      <x:c r="G5" s="6"/>
      <x:c r="H5" s="6"/>
      <x:c r="I5" s="17" t="s">
        <x:v>32</x:v>
      </x:c>
      <x:c r="J5" s="17" t="s">
        <x:v>33</x:v>
      </x:c>
      <x:c r="K5" s="17" t="s">
        <x:v>34</x:v>
      </x:c>
      <x:c r="L5" s="17" t="s">
        <x:v>35</x:v>
      </x:c>
      <x:c r="M5" s="17" t="s">
        <x:v>36</x:v>
      </x:c>
      <x:c r="N5" s="17" t="s">
        <x:v>32</x:v>
      </x:c>
      <x:c r="O5" s="17" t="s">
        <x:v>33</x:v>
      </x:c>
      <x:c r="P5" s="17" t="s">
        <x:v>34</x:v>
      </x:c>
      <x:c r="Q5" s="17" t="s">
        <x:v>35</x:v>
      </x:c>
      <x:c r="R5" s="17" t="s">
        <x:v>36</x:v>
      </x:c>
      <x:c r="S5" s="17" t="s">
        <x:v>32</x:v>
      </x:c>
      <x:c r="T5" s="17" t="s">
        <x:v>33</x:v>
      </x:c>
      <x:c r="U5" s="17" t="s">
        <x:v>34</x:v>
      </x:c>
      <x:c r="V5" s="17" t="s">
        <x:v>35</x:v>
      </x:c>
      <x:c r="W5" s="17" t="s">
        <x:v>36</x:v>
      </x:c>
    </x:row>
    <x:row r="6" ht="12" customHeight="1">
      <x:c r="A6" s="6"/>
      <x:c r="B6" s="6"/>
      <x:c r="C6" s="6"/>
      <x:c r="D6" s="6"/>
      <x:c r="E6" s="6"/>
      <x:c r="F6" s="6"/>
      <x:c r="G6" s="6"/>
      <x:c r="H6" s="6"/>
      <x:c r="I6" s="18">
        <x:v>1</x:v>
      </x:c>
      <x:c r="J6" s="18">
        <x:v>2</x:v>
      </x:c>
      <x:c r="K6" s="18">
        <x:v>3</x:v>
      </x:c>
      <x:c r="L6" s="18">
        <x:v>4</x:v>
      </x:c>
      <x:c r="M6" s="18">
        <x:v>5</x:v>
      </x:c>
      <x:c r="N6" s="18">
        <x:v>6</x:v>
      </x:c>
      <x:c r="O6" s="18">
        <x:v>7</x:v>
      </x:c>
      <x:c r="P6" s="18">
        <x:v>8</x:v>
      </x:c>
      <x:c r="Q6" s="18">
        <x:v>9</x:v>
      </x:c>
      <x:c r="R6" s="18">
        <x:v>10</x:v>
      </x:c>
      <x:c r="S6" s="18">
        <x:v>11</x:v>
      </x:c>
      <x:c r="T6" s="18">
        <x:v>12</x:v>
      </x:c>
      <x:c r="U6" s="18">
        <x:v>13</x:v>
      </x:c>
      <x:c r="V6" s="18">
        <x:v>14</x:v>
      </x:c>
      <x:c r="W6" s="18">
        <x:v>15</x:v>
      </x:c>
    </x:row>
    <x:row r="7" ht="96" hidden="0" customHeight="1">
      <x:c r="A7" s="85" t="str">
        <x:v>T61</x:v>
      </x:c>
      <x:c r="B7" s="86" t="str">
        <x:v>[SPRINT 3 GOVERNANCE &amp; ACCESS ACTIVATION] - Task 61 Initialise Sprint 3 Refine MVP in Planner/Gantt and control the isolated-Academy-copy, site-level dependencies, evidence expectations and review checkpoints: 120</x:v>
      </x:c>
      <x:c r="C7" s="86" t="str">
        <x:v>Aryan Rajendra</x:v>
      </x:c>
      <x:c r="D7" s="85" t="n">
        <x:v>120</x:v>
      </x:c>
      <x:c r="E7" s="85" t="n">
        <x:v>1</x:v>
      </x:c>
      <x:c r="F7" s="85" t="n">
        <x:v>1</x:v>
      </x:c>
      <x:c r="G7" s="85" t="n">
        <x:v>1</x:v>
      </x:c>
      <x:c r="H7" s="86" t="str">
        <x:v>T52,T54,T56,T58,T60</x:v>
      </x:c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</x:row>
    <x:row r="8" ht="105.5999984741211" hidden="0" customHeight="1">
      <x:c r="A8" s="71" t="str">
        <x:v>T62</x:v>
      </x:c>
      <x:c r="B8" s="72" t="str">
        <x:v>[SPRINT 3 STAKEHOLDER IMPLEMENTATION REVIEW] - Task 62 Run the Week 1 client/supervisor implementation checkpoint and record decisions, completed site-level work, remaining blockers and agreed Sprint 3 follow-up actions: 120</x:v>
      </x:c>
      <x:c r="C8" s="73" t="str">
        <x:v>Aryan Rajendra</x:v>
      </x:c>
      <x:c r="D8" s="71" t="n">
        <x:v>120</x:v>
      </x:c>
      <x:c r="E8" s="71" t="n">
        <x:v>1</x:v>
      </x:c>
      <x:c r="F8" s="71" t="n">
        <x:v>4</x:v>
      </x:c>
      <x:c r="G8" s="71" t="n">
        <x:v>1</x:v>
      </x:c>
      <x:c r="H8" s="73" t="str">
        <x:v>T61,T64,T66,T67,T69</x:v>
      </x:c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</x:row>
    <x:row r="9" ht="79.19999694824219" hidden="0" customHeight="1">
      <x:c r="A9" s="71" t="str">
        <x:v>T63</x:v>
      </x:c>
      <x:c r="B9" s="72" t="str">
        <x:v>[SPRINT 3 FINAL REQUIREMENTS BASELINE] - Task 63 Convert the Sprint 2 closeout gaps and confirmed client decisions into the final Sprint 3 implementation and acceptance baseline: 120</x:v>
      </x:c>
      <x:c r="C9" s="73" t="str">
        <x:v>Riley Pittard</x:v>
      </x:c>
      <x:c r="D9" s="71" t="n">
        <x:v>120</x:v>
      </x:c>
      <x:c r="E9" s="71" t="n">
        <x:v>1</x:v>
      </x:c>
      <x:c r="F9" s="71" t="n">
        <x:v>1</x:v>
      </x:c>
      <x:c r="G9" s="71" t="n">
        <x:v>1</x:v>
      </x:c>
      <x:c r="H9" s="73" t="str">
        <x:v>T53,T54</x:v>
      </x:c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</x:row>
    <x:row r="10" ht="132" hidden="0" customHeight="1">
      <x:c r="A10" s="71" t="str">
        <x:v>T64</x:v>
      </x:c>
      <x:c r="B10" s="72" t="str">
        <x:v>[SPRINT 3 WORKSHOP &amp; ASSESSMENT REQUIREMENTS CONTROL] - Task 64 Finalise implementation criteria for verified Teams workshop attendance, two-of-three eligibility and the complete assessment workflow without introducing unapproved behaviour: 120</x:v>
      </x:c>
      <x:c r="C10" s="73" t="str">
        <x:v>Riley Pittard</x:v>
      </x:c>
      <x:c r="D10" s="71" t="n">
        <x:v>120</x:v>
      </x:c>
      <x:c r="E10" s="71" t="n">
        <x:v>1</x:v>
      </x:c>
      <x:c r="F10" s="71" t="n">
        <x:v>2</x:v>
      </x:c>
      <x:c r="G10" s="71" t="n">
        <x:v>1</x:v>
      </x:c>
      <x:c r="H10" s="73" t="str">
        <x:v>T63</x:v>
      </x:c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</x:row>
    <x:row r="11" ht="105.5999984741211" hidden="0" customHeight="1">
      <x:c r="A11" s="71" t="str">
        <x:v>T65</x:v>
      </x:c>
      <x:c r="B11" s="72" t="str">
        <x:v>[SPRINT 3 BRANDING NAVIGATION &amp; ACCESSIBILITY HANDOFF] - Task 65 Issue the final implementation-ready UX handoff for OAPA branding/fonts, navigation, signposting and accessibility in the isolated Academy environment: 120</x:v>
      </x:c>
      <x:c r="C11" s="73" t="str">
        <x:v>Walaa Ghanduri</x:v>
      </x:c>
      <x:c r="D11" s="71" t="n">
        <x:v>120</x:v>
      </x:c>
      <x:c r="E11" s="71" t="n">
        <x:v>1</x:v>
      </x:c>
      <x:c r="F11" s="71" t="n">
        <x:v>1</x:v>
      </x:c>
      <x:c r="G11" s="71" t="n">
        <x:v>1</x:v>
      </x:c>
      <x:c r="H11" s="73" t="str">
        <x:v>T56</x:v>
      </x:c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</x:row>
    <x:row r="12" ht="118.80000305175781" hidden="0" customHeight="1">
      <x:c r="A12" s="71" t="str">
        <x:v>T66</x:v>
      </x:c>
      <x:c r="B12" s="72" t="str">
        <x:v>[SPRINT 3 PARTICIPANTS &amp; LEARNER EXPERIENCE REFINEMENT] - Task 66 Validate the Participants-tab mock-ups and remaining learner/staff UX refinements against native Moodle capability; issue only feasible implementation changes: 120</x:v>
      </x:c>
      <x:c r="C12" s="73" t="str">
        <x:v>Walaa Ghanduri</x:v>
      </x:c>
      <x:c r="D12" s="71" t="n">
        <x:v>120</x:v>
      </x:c>
      <x:c r="E12" s="71" t="n">
        <x:v>1</x:v>
      </x:c>
      <x:c r="F12" s="71" t="n">
        <x:v>2</x:v>
      </x:c>
      <x:c r="G12" s="71" t="n">
        <x:v>1</x:v>
      </x:c>
      <x:c r="H12" s="73" t="str">
        <x:v>T65</x:v>
      </x:c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</x:row>
    <x:row r="13" ht="118.80000305175781" hidden="0" customHeight="1">
      <x:c r="A13" s="71" t="str">
        <x:v>T67</x:v>
      </x:c>
      <x:c r="B13" s="72" t="str">
        <x:v>[SPRINT 3 WORKSHOP ATTENDANCE INTEGRATION] - Task 67 Implement the live Teams workshop and verified-attendance workflow in the isolated Academy copy and connect verified attendance to the existing two-of-three assessment-eligibility logic: 120</x:v>
      </x:c>
      <x:c r="C13" s="73" t="str">
        <x:v>Reshan Lahandapura</x:v>
      </x:c>
      <x:c r="D13" s="71" t="n">
        <x:v>120</x:v>
      </x:c>
      <x:c r="E13" s="71" t="n">
        <x:v>1</x:v>
      </x:c>
      <x:c r="F13" s="71" t="n">
        <x:v>3</x:v>
      </x:c>
      <x:c r="G13" s="71" t="n">
        <x:v>1</x:v>
      </x:c>
      <x:c r="H13" s="73" t="str">
        <x:v>T61,T63,T64,T65</x:v>
      </x:c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</x:row>
    <x:row r="14" ht="105.5999984741211" hidden="0" customHeight="1">
      <x:c r="A14" s="71" t="str">
        <x:v>T68</x:v>
      </x:c>
      <x:c r="B14" s="72" t="str">
        <x:v>[SPRINT 3 ELIGIBILITY &amp; ASSESSMENT WORKFLOW HARDENING] - Task 68 Integrate verified workshop attendance with final assessment eligibility and harden the soft-feedback, revision, direct-final, extension and grade-release workflow: 120</x:v>
      </x:c>
      <x:c r="C14" s="73" t="str">
        <x:v>Reshan Lahandapura</x:v>
      </x:c>
      <x:c r="D14" s="71" t="n">
        <x:v>120</x:v>
      </x:c>
      <x:c r="E14" s="71" t="n">
        <x:v>1</x:v>
      </x:c>
      <x:c r="F14" s="71" t="n">
        <x:v>4</x:v>
      </x:c>
      <x:c r="G14" s="71" t="n">
        <x:v>1</x:v>
      </x:c>
      <x:c r="H14" s="73" t="str">
        <x:v>T64,T67</x:v>
      </x:c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</x:row>
    <x:row r="15" ht="105.5999984741211" hidden="0" customHeight="1">
      <x:c r="A15" s="71" t="str">
        <x:v>T69</x:v>
      </x:c>
      <x:c r="B15" s="72" t="str">
        <x:v>[SPRINT 3 BRANDING &amp; NAVIGATION IMPLEMENTATION] - Task 69 Apply the approved OAPA branding/fonts and feasible navigation/accessibility changes in the isolated Academy copy using Moodle-native or approved site-level capability: 120</x:v>
      </x:c>
      <x:c r="C15" s="73" t="str">
        <x:v>Shaikh Zarin Tasnim</x:v>
      </x:c>
      <x:c r="D15" s="71" t="n">
        <x:v>120</x:v>
      </x:c>
      <x:c r="E15" s="71" t="n">
        <x:v>1</x:v>
      </x:c>
      <x:c r="F15" s="71" t="n">
        <x:v>3</x:v>
      </x:c>
      <x:c r="G15" s="71" t="n">
        <x:v>1</x:v>
      </x:c>
      <x:c r="H15" s="73" t="str">
        <x:v>T61,T65,T66</x:v>
      </x:c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</x:row>
    <x:row r="16" ht="105.5999984741211" hidden="0" customHeight="1">
      <x:c r="A16" s="71" t="str">
        <x:v>T70</x:v>
      </x:c>
      <x:c r="B16" s="72" t="str">
        <x:v>[SPRINT 3 WEEK 1 CROSS-TEST &amp; H5P CLOSEOUT] - Task 70 Independently cross-test the workshop, assessment, branding and navigation changes and close the final H5P Question Set status with the Moodle-native fallback retained: 120</x:v>
      </x:c>
      <x:c r="C16" s="73" t="str">
        <x:v>Shaikh Zarin Tasnim</x:v>
      </x:c>
      <x:c r="D16" s="71" t="n">
        <x:v>120</x:v>
      </x:c>
      <x:c r="E16" s="71" t="n">
        <x:v>1</x:v>
      </x:c>
      <x:c r="F16" s="71" t="n">
        <x:v>5</x:v>
      </x:c>
      <x:c r="G16" s="71" t="n">
        <x:v>1</x:v>
      </x:c>
      <x:c r="H16" s="73" t="str">
        <x:v>T67,T68,T69</x:v>
      </x:c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</x:row>
    <x:row r="17" ht="92.4000015258789" hidden="0" customHeight="1">
      <x:c r="A17" s="71" t="str">
        <x:v>T71</x:v>
      </x:c>
      <x:c r="B17" s="72" t="str">
        <x:v>[SPRINT 3 MID-SPRINT STAKEHOLDER REVIEW] - Task 71 Run the mid-Sprint 3 client/Vic review against the implemented Week 1 changes and record accepted fixes, blockers and final refinement decisions: 120</x:v>
      </x:c>
      <x:c r="C17" s="73" t="str">
        <x:v>Aryan Rajendra</x:v>
      </x:c>
      <x:c r="D17" s="71" t="n">
        <x:v>120</x:v>
      </x:c>
      <x:c r="E17" s="71" t="n">
        <x:v>2</x:v>
      </x:c>
      <x:c r="F17" s="71" t="n">
        <x:v>4</x:v>
      </x:c>
      <x:c r="G17" s="71" t="n">
        <x:v>1</x:v>
      </x:c>
      <x:c r="H17" s="73" t="str">
        <x:v>T70,T73,T75,T77</x:v>
      </x:c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</x:row>
    <x:row r="18" ht="92.4000015258789" hidden="0" customHeight="1">
      <x:c r="A18" s="71" t="str">
        <x:v>T72</x:v>
      </x:c>
      <x:c r="B18" s="72" t="str">
        <x:v>[SPRINT 3 GOVERNANCE RISK &amp; EVIDENCE CONTROL] - Task 72 Update risks, decisions, Planner/CRM evidence and the refinement backlog after the mid-sprint review; preserve a clear route to final handover: 120</x:v>
      </x:c>
      <x:c r="C18" s="73" t="str">
        <x:v>Aryan Rajendra</x:v>
      </x:c>
      <x:c r="D18" s="71" t="n">
        <x:v>120</x:v>
      </x:c>
      <x:c r="E18" s="71" t="n">
        <x:v>2</x:v>
      </x:c>
      <x:c r="F18" s="71" t="n">
        <x:v>5</x:v>
      </x:c>
      <x:c r="G18" s="71" t="n">
        <x:v>1</x:v>
      </x:c>
      <x:c r="H18" s="73" t="str">
        <x:v>T71,T80</x:v>
      </x:c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</x:row>
    <x:row r="19" ht="92.4000015258789" hidden="0" customHeight="1">
      <x:c r="A19" s="71" t="str">
        <x:v>T73</x:v>
      </x:c>
      <x:c r="B19" s="72" t="str">
        <x:v>[SPRINT 3 END-TO-END ACCEPTANCE VALIDATION] - Task 73 Validate the implemented learner, workshop, assessment, tracking and content-expert reuse journeys against the final Sprint 3 acceptance baseline: 120</x:v>
      </x:c>
      <x:c r="C19" s="73" t="str">
        <x:v>Riley Pittard</x:v>
      </x:c>
      <x:c r="D19" s="71" t="n">
        <x:v>120</x:v>
      </x:c>
      <x:c r="E19" s="71" t="n">
        <x:v>2</x:v>
      </x:c>
      <x:c r="F19" s="71" t="n">
        <x:v>1</x:v>
      </x:c>
      <x:c r="G19" s="71" t="n">
        <x:v>1</x:v>
      </x:c>
      <x:c r="H19" s="73" t="str">
        <x:v>T68,T70</x:v>
      </x:c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</x:row>
    <x:row r="20" ht="92.4000015258789" hidden="0" customHeight="1">
      <x:c r="A20" s="71" t="str">
        <x:v>T74</x:v>
      </x:c>
      <x:c r="B20" s="72" t="str">
        <x:v>[SPRINT 3 SCOPE &amp; DEFERRED REQUIREMENTS CONTROL] - Task 74 Finalise the accepted, deferred, OAPA-admin and out-of-scope requirement register so the team can close the project without hidden scope gaps: 120</x:v>
      </x:c>
      <x:c r="C20" s="73" t="str">
        <x:v>Riley Pittard</x:v>
      </x:c>
      <x:c r="D20" s="71" t="n">
        <x:v>120</x:v>
      </x:c>
      <x:c r="E20" s="71" t="n">
        <x:v>2</x:v>
      </x:c>
      <x:c r="F20" s="71" t="n">
        <x:v>2</x:v>
      </x:c>
      <x:c r="G20" s="71" t="n">
        <x:v>1</x:v>
      </x:c>
      <x:c r="H20" s="73" t="str">
        <x:v>T73</x:v>
      </x:c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</x:row>
    <x:row r="21" ht="105.5999984741211" hidden="0" customHeight="1">
      <x:c r="A21" s="71" t="str">
        <x:v>T75</x:v>
      </x:c>
      <x:c r="B21" s="72" t="str">
        <x:v>[SPRINT 3 IMPLEMENTED UX &amp; ACCESSIBILITY REVIEW] - Task 75 Review the refined real-Academy build across Course Home, modules, workshops, assessment, Participants and learner progress; issue evidence-based final UX corrections: 120</x:v>
      </x:c>
      <x:c r="C21" s="73" t="str">
        <x:v>Walaa Ghanduri</x:v>
      </x:c>
      <x:c r="D21" s="71" t="n">
        <x:v>120</x:v>
      </x:c>
      <x:c r="E21" s="71" t="n">
        <x:v>2</x:v>
      </x:c>
      <x:c r="F21" s="71" t="n">
        <x:v>1</x:v>
      </x:c>
      <x:c r="G21" s="71" t="n">
        <x:v>1</x:v>
      </x:c>
      <x:c r="H21" s="73" t="str">
        <x:v>T69,T70</x:v>
      </x:c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</x:row>
    <x:row r="22" ht="105.5999984741211" hidden="0" customHeight="1">
      <x:c r="A22" s="71" t="str">
        <x:v>T76</x:v>
      </x:c>
      <x:c r="B22" s="72" t="str">
        <x:v>[SPRINT 3 FINAL UX REFINEMENT HANDOFF] - Task 76 Refine the feasible Participants, navigation, responsive and accessibility treatment after real-build review and hand off only implementation-ready corrections: 120</x:v>
      </x:c>
      <x:c r="C22" s="73" t="str">
        <x:v>Walaa Ghanduri</x:v>
      </x:c>
      <x:c r="D22" s="71" t="n">
        <x:v>120</x:v>
      </x:c>
      <x:c r="E22" s="71" t="n">
        <x:v>2</x:v>
      </x:c>
      <x:c r="F22" s="71" t="n">
        <x:v>2</x:v>
      </x:c>
      <x:c r="G22" s="71" t="n">
        <x:v>1</x:v>
      </x:c>
      <x:c r="H22" s="73" t="str">
        <x:v>T73,T75</x:v>
      </x:c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</x:row>
    <x:row r="23" ht="105.5999984741211" hidden="0" customHeight="1">
      <x:c r="A23" s="74" t="str">
        <x:v>T77</x:v>
      </x:c>
      <x:c r="B23" s="75" t="str">
        <x:v>[SPRINT 3 DEFECT FIXING &amp; REGRESSION] - Task 77 Fix functional defects from integrated acceptance and UX review across progression, workshop attendance, eligibility, assessment and navigation; regression-test the corrections: 120</x:v>
      </x:c>
      <x:c r="C23" s="76" t="str">
        <x:v>Reshan Lahandapura</x:v>
      </x:c>
      <x:c r="D23" s="74" t="n">
        <x:v>120</x:v>
      </x:c>
      <x:c r="E23" s="74" t="n">
        <x:v>2</x:v>
      </x:c>
      <x:c r="F23" s="74" t="n">
        <x:v>3</x:v>
      </x:c>
      <x:c r="G23" s="74" t="n">
        <x:v>1</x:v>
      </x:c>
      <x:c r="H23" s="76" t="str">
        <x:v>T73,T75</x:v>
      </x:c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</x:row>
    <x:row r="24" ht="118.80000305175781" hidden="0" customHeight="1">
      <x:c r="A24" s="74" t="str">
        <x:v>T78</x:v>
      </x:c>
      <x:c r="B24" s="75" t="str">
        <x:v>[SPRINT 3 REUSE DUPLICATION &amp; CONTENT-EXPERT VALIDATION] - Task 78 Prove the reusable-template workflow in the isolated copy and validate the content-expert versus OAPA-admin duplication/site-level handoff without altering the master pattern: 120</x:v>
      </x:c>
      <x:c r="C24" s="76" t="str">
        <x:v>Reshan Lahandapura</x:v>
      </x:c>
      <x:c r="D24" s="74" t="n">
        <x:v>120</x:v>
      </x:c>
      <x:c r="E24" s="74" t="n">
        <x:v>2</x:v>
      </x:c>
      <x:c r="F24" s="74" t="n">
        <x:v>4</x:v>
      </x:c>
      <x:c r="G24" s="74" t="n">
        <x:v>1</x:v>
      </x:c>
      <x:c r="H24" s="76" t="str">
        <x:v>T74,T77</x:v>
      </x:c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</x:row>
    <x:row r="25" ht="105.5999984741211" hidden="0" customHeight="1">
      <x:c r="A25" s="74" t="str">
        <x:v>T79</x:v>
      </x:c>
      <x:c r="B25" s="75" t="str">
        <x:v>[SPRINT 3 COMPATIBILITY &amp; ACCESSIBILITY REGRESSION] - Task 79 Run browser, responsive-device, keyboard and accessibility regression on the refined Academy experience and independently re-test Dev 1 fixes: 120</x:v>
      </x:c>
      <x:c r="C25" s="76" t="str">
        <x:v>Shaikh Zarin Tasnim</x:v>
      </x:c>
      <x:c r="D25" s="74" t="n">
        <x:v>120</x:v>
      </x:c>
      <x:c r="E25" s="74" t="n">
        <x:v>2</x:v>
      </x:c>
      <x:c r="F25" s="74" t="n">
        <x:v>4</x:v>
      </x:c>
      <x:c r="G25" s="74" t="n">
        <x:v>1</x:v>
      </x:c>
      <x:c r="H25" s="76" t="str">
        <x:v>T76,T77</x:v>
      </x:c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</x:row>
    <x:row r="26" ht="92.4000015258789" hidden="0" customHeight="1">
      <x:c r="A26" s="74" t="str">
        <x:v>T80</x:v>
      </x:c>
      <x:c r="B26" s="75" t="str">
        <x:v>[SPRINT 3 WORKFLOW TRACKING &amp; QUALITY CLOSEOUT] - Task 80 Cross-test completion, reporting, workshop/assessment edge cases and returning-learner behaviour; close H5P/native-fallback and Week 2 quality evidence: 120</x:v>
      </x:c>
      <x:c r="C26" s="76" t="str">
        <x:v>Shaikh Zarin Tasnim</x:v>
      </x:c>
      <x:c r="D26" s="74" t="n">
        <x:v>120</x:v>
      </x:c>
      <x:c r="E26" s="74" t="n">
        <x:v>2</x:v>
      </x:c>
      <x:c r="F26" s="74" t="n">
        <x:v>5</x:v>
      </x:c>
      <x:c r="G26" s="74" t="n">
        <x:v>1</x:v>
      </x:c>
      <x:c r="H26" s="76" t="str">
        <x:v>T77,T78,T79</x:v>
      </x:c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</x:row>
    <x:row r="27" ht="92.4000015258789" hidden="0" customHeight="1">
      <x:c r="A27" s="74" t="str">
        <x:v>T81</x:v>
      </x:c>
      <x:c r="B27" s="75" t="str">
        <x:v>[SPRINT 3 FINAL CLIENT SUPERVISOR ACCEPTANCE] - Task 81 Run the final client and Vic acceptance/handover review; record accepted deliverables, unresolved OAPA-admin actions and final project decisions: 120</x:v>
      </x:c>
      <x:c r="C27" s="76" t="str">
        <x:v>Aryan Rajendra</x:v>
      </x:c>
      <x:c r="D27" s="74" t="n">
        <x:v>120</x:v>
      </x:c>
      <x:c r="E27" s="74" t="n">
        <x:v>3</x:v>
      </x:c>
      <x:c r="F27" s="74" t="n">
        <x:v>4</x:v>
      </x:c>
      <x:c r="G27" s="74" t="n">
        <x:v>1</x:v>
      </x:c>
      <x:c r="H27" s="76" t="str">
        <x:v>T83,T85,T87,T89</x:v>
      </x:c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</x:row>
    <x:row r="28" ht="92.4000015258789" hidden="0" customHeight="1">
      <x:c r="A28" s="74" t="str">
        <x:v>T82</x:v>
      </x:c>
      <x:c r="B28" s="75" t="str">
        <x:v>[SPRINT 3 PROJECT EVIDENCE &amp; HANDOVER CLOSEOUT] - Task 82 Consolidate final Planner, CRM, playback, decision, testing and handover evidence and prepare the complete project closeout/submission package: 120</x:v>
      </x:c>
      <x:c r="C28" s="76" t="str">
        <x:v>Aryan Rajendra</x:v>
      </x:c>
      <x:c r="D28" s="74" t="n">
        <x:v>120</x:v>
      </x:c>
      <x:c r="E28" s="74" t="n">
        <x:v>3</x:v>
      </x:c>
      <x:c r="F28" s="74" t="n">
        <x:v>5</x:v>
      </x:c>
      <x:c r="G28" s="74" t="n">
        <x:v>1</x:v>
      </x:c>
      <x:c r="H28" s="76" t="str">
        <x:v>T81,T84,T86,T88,T90</x:v>
      </x:c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</x:row>
    <x:row r="29" ht="92.4000015258789" hidden="0" customHeight="1">
      <x:c r="A29" s="74" t="str">
        <x:v>T83</x:v>
      </x:c>
      <x:c r="B29" s="75" t="str">
        <x:v>[SPRINT 3 FINAL ACCEPTANCE TRACEABILITY] - Task 83 Run the final requirement-by-requirement acceptance check and produce the final traceability position for the delivered OAPA Academy framework: 120</x:v>
      </x:c>
      <x:c r="C29" s="76" t="str">
        <x:v>Riley Pittard</x:v>
      </x:c>
      <x:c r="D29" s="74" t="n">
        <x:v>120</x:v>
      </x:c>
      <x:c r="E29" s="74" t="n">
        <x:v>3</x:v>
      </x:c>
      <x:c r="F29" s="74" t="n">
        <x:v>1</x:v>
      </x:c>
      <x:c r="G29" s="74" t="n">
        <x:v>1</x:v>
      </x:c>
      <x:c r="H29" s="76" t="str">
        <x:v>T78,T80</x:v>
      </x:c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</x:row>
    <x:row r="30" ht="105.5999984741211" hidden="0" customHeight="1">
      <x:c r="A30" s="74" t="str">
        <x:v>T84</x:v>
      </x:c>
      <x:c r="B30" s="75" t="str">
        <x:v>[SPRINT 3 FINAL SCOPE &amp; REQUIREMENTS HANDOVER] - Task 84 Finalise the delivered/deferred/admin requirement register and prepare the requirements handover for OAPA future course reuse and maintenance: 120</x:v>
      </x:c>
      <x:c r="C30" s="76" t="str">
        <x:v>Riley Pittard</x:v>
      </x:c>
      <x:c r="D30" s="74" t="n">
        <x:v>120</x:v>
      </x:c>
      <x:c r="E30" s="74" t="n">
        <x:v>3</x:v>
      </x:c>
      <x:c r="F30" s="74" t="n">
        <x:v>2</x:v>
      </x:c>
      <x:c r="G30" s="74" t="n">
        <x:v>1</x:v>
      </x:c>
      <x:c r="H30" s="76" t="str">
        <x:v>T83</x:v>
      </x:c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</x:row>
    <x:row r="31" ht="92.4000015258789" hidden="0" customHeight="1">
      <x:c r="A31" s="74" t="str">
        <x:v>T85</x:v>
      </x:c>
      <x:c r="B31" s="75" t="str">
        <x:v>[SPRINT 3 FINAL UX BRAND &amp; ACCESSIBILITY SIGN-OFF] - Task 85 Complete the final UX, OAPA Brand Book, navigation, responsive and accessibility sign-off against the release candidate: 120</x:v>
      </x:c>
      <x:c r="C31" s="76" t="str">
        <x:v>Walaa Ghanduri</x:v>
      </x:c>
      <x:c r="D31" s="74" t="n">
        <x:v>120</x:v>
      </x:c>
      <x:c r="E31" s="74" t="n">
        <x:v>3</x:v>
      </x:c>
      <x:c r="F31" s="74" t="n">
        <x:v>1</x:v>
      </x:c>
      <x:c r="G31" s="74" t="n">
        <x:v>1</x:v>
      </x:c>
      <x:c r="H31" s="76" t="str">
        <x:v>T79,T80</x:v>
      </x:c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</x:row>
    <x:row r="32" ht="105.5999984741211" hidden="0" customHeight="1">
      <x:c r="A32" s="74" t="str">
        <x:v>T86</x:v>
      </x:c>
      <x:c r="B32" s="75" t="str">
        <x:v>[SPRINT 3 UX &amp; CONTENT-EXPERT HANDOVER] - Task 86 Prepare the final UX/content-expert handover showing how future OAPA course authors should preserve navigation, branding, accessibility and learner-flow patterns when reusing the framework: 120</x:v>
      </x:c>
      <x:c r="C32" s="76" t="str">
        <x:v>Walaa Ghanduri</x:v>
      </x:c>
      <x:c r="D32" s="74" t="n">
        <x:v>120</x:v>
      </x:c>
      <x:c r="E32" s="74" t="n">
        <x:v>3</x:v>
      </x:c>
      <x:c r="F32" s="74" t="n">
        <x:v>3</x:v>
      </x:c>
      <x:c r="G32" s="74" t="n">
        <x:v>1</x:v>
      </x:c>
      <x:c r="H32" s="76" t="str">
        <x:v>T84,T85</x:v>
      </x:c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</x:row>
    <x:row r="33" ht="92.4000015258789" hidden="0" customHeight="1">
      <x:c r="A33" s="74" t="str">
        <x:v>T87</x:v>
      </x:c>
      <x:c r="B33" s="75" t="str">
        <x:v>[SPRINT 3 RELEASE-CANDIDATE DEFECT CLOSURE] - Task 87 Apply final accepted functional fixes, regression-test the release candidate and freeze the implemented reusable framework for handover: 120</x:v>
      </x:c>
      <x:c r="C33" s="76" t="str">
        <x:v>Reshan Lahandapura</x:v>
      </x:c>
      <x:c r="D33" s="74" t="n">
        <x:v>120</x:v>
      </x:c>
      <x:c r="E33" s="74" t="n">
        <x:v>3</x:v>
      </x:c>
      <x:c r="F33" s="74" t="n">
        <x:v>2</x:v>
      </x:c>
      <x:c r="G33" s="74" t="n">
        <x:v>1</x:v>
      </x:c>
      <x:c r="H33" s="76" t="str">
        <x:v>T83,T85</x:v>
      </x:c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</x:row>
    <x:row r="34" ht="92.4000015258789" hidden="0" customHeight="1">
      <x:c r="A34" s="74" t="str">
        <x:v>T88</x:v>
      </x:c>
      <x:c r="B34" s="75" t="str">
        <x:v>[SPRINT 3 OAPA ADMIN &amp; REUSE HANDOVER] - Task 88 Finalise the technical reuse, duplication and OAPA-admin site-level handover guide for safely creating future courses from the master framework: 120</x:v>
      </x:c>
      <x:c r="C34" s="76" t="str">
        <x:v>Reshan Lahandapura</x:v>
      </x:c>
      <x:c r="D34" s="74" t="n">
        <x:v>120</x:v>
      </x:c>
      <x:c r="E34" s="74" t="n">
        <x:v>3</x:v>
      </x:c>
      <x:c r="F34" s="74" t="n">
        <x:v>3</x:v>
      </x:c>
      <x:c r="G34" s="74" t="n">
        <x:v>1</x:v>
      </x:c>
      <x:c r="H34" s="76" t="str">
        <x:v>T86,T87</x:v>
      </x:c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</x:row>
    <x:row r="35" ht="105.5999984741211" hidden="0" customHeight="1">
      <x:c r="A35" s="74" t="str">
        <x:v>T89</x:v>
      </x:c>
      <x:c r="B35" s="75" t="str">
        <x:v>[SPRINT 3 FINAL INDEPENDENT REGRESSION] - Task 89 Independently run the final release-candidate regression from Student and Teacher views across progression, attendance, assessment, tracking, navigation and accessibility: 120</x:v>
      </x:c>
      <x:c r="C35" s="76" t="str">
        <x:v>Shaikh Zarin Tasnim</x:v>
      </x:c>
      <x:c r="D35" s="74" t="n">
        <x:v>120</x:v>
      </x:c>
      <x:c r="E35" s="74" t="n">
        <x:v>3</x:v>
      </x:c>
      <x:c r="F35" s="74" t="n">
        <x:v>4</x:v>
      </x:c>
      <x:c r="G35" s="74" t="n">
        <x:v>1</x:v>
      </x:c>
      <x:c r="H35" s="76" t="str">
        <x:v>T87,T88</x:v>
      </x:c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</x:row>
    <x:row r="36" ht="92.4000015258789" hidden="0" customHeight="1">
      <x:c r="A36" s="74" t="str">
        <x:v>T90</x:v>
      </x:c>
      <x:c r="B36" s="75" t="str">
        <x:v>[SPRINT 3 TECHNICAL QUALITY HANDOVER] - Task 90 Close final test evidence, environment assumptions, H5P/native-fallback status, known limitations and technical quality handover for OAPA: 120</x:v>
      </x:c>
      <x:c r="C36" s="76" t="str">
        <x:v>Shaikh Zarin Tasnim</x:v>
      </x:c>
      <x:c r="D36" s="74" t="n">
        <x:v>120</x:v>
      </x:c>
      <x:c r="E36" s="74" t="n">
        <x:v>3</x:v>
      </x:c>
      <x:c r="F36" s="74" t="n">
        <x:v>5</x:v>
      </x:c>
      <x:c r="G36" s="74" t="n">
        <x:v>1</x:v>
      </x:c>
      <x:c r="H36" s="76" t="str">
        <x:v>T88,T89</x:v>
      </x:c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</x:row>
  </x:sheetData>
  <x:mergeCells>
    <x:mergeCell ref="A1:W1"/>
    <x:mergeCell ref="A2:W2"/>
    <x:mergeCell ref="A4:A6"/>
    <x:mergeCell ref="B4:B6"/>
    <x:mergeCell ref="C4:C6"/>
    <x:mergeCell ref="D4:D6"/>
    <x:mergeCell ref="E4:E6"/>
    <x:mergeCell ref="F4:F6"/>
    <x:mergeCell ref="G4:G6"/>
    <x:mergeCell ref="H4:H6"/>
    <x:mergeCell ref="I4:M4"/>
    <x:mergeCell ref="N4:R4"/>
    <x:mergeCell ref="S4:W4"/>
  </x:mergeCells>
  <x:conditionalFormatting sqref="I7:W22">
    <x:cfRule type="expression" dxfId="2" priority="2">
      <x:formula>AND(I$6&gt;=($E7-1)*5+$F7,I$6&lt;=($E7-1)*5+$F7+$G7-1)</x:formula>
    </x:cfRule>
  </x:conditionalFormatting>
  <x:conditionalFormatting sqref="I7:W36">
    <x:cfRule type="expression" dxfId="3" priority="3">
      <x:formula>AND(I$6&gt;=($E7-1)*5+$F7,I$6&lt;=($E7-1)*5+$F7+$G7-1)</x:formula>
    </x:cfRule>
  </x:conditionalFormatting>
  <x:dataValidations count="2">
    <x:dataValidation type="list" allowBlank="1" sqref="C7:C22">
      <x:formula1>"PM,Dev 1,Dev 2,UX/Research,Business/QA"</x:formula1>
      <x:formula2>0</x:formula2>
    </x:dataValidation>
    <x:dataValidation type="list" sqref="C7:C36">
      <x:formula1>"Aryan Rajendra,Riley Pittard,Walaa Ghanduri,Reshan Lahandapura,Shaikh Zarin Tasnim"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7109375" defaultRowHeight="15"/>
  <x:cols>
    <x:col min="1" max="1" width="24" hidden="0" customWidth="1"/>
    <x:col min="2" max="4" width="13" customWidth="1"/>
    <x:col min="5" max="6" width="15" customWidth="1"/>
  </x:cols>
  <x:sheetData>
    <x:row r="1" ht="19.5" customHeight="1">
      <x:c r="A1" s="3" t="s">
        <x:v>37</x:v>
      </x:c>
      <x:c r="B1" s="3"/>
      <x:c r="C1" s="3"/>
      <x:c r="D1" s="3"/>
      <x:c r="E1" s="3"/>
      <x:c r="F1" s="3"/>
    </x:row>
    <x:row r="2">
      <x:c r="A2" s="2" t="s">
        <x:v>38</x:v>
      </x:c>
      <x:c r="B2" s="2"/>
      <x:c r="C2" s="2"/>
      <x:c r="D2" s="2"/>
      <x:c r="E2" s="2"/>
      <x:c r="F2" s="2"/>
    </x:row>
    <x:row r="4" ht="25.5" customHeight="1">
      <x:c r="A4" s="16" t="s">
        <x:v>39</x:v>
      </x:c>
      <x:c r="B4" s="16" t="s">
        <x:v>40</x:v>
      </x:c>
      <x:c r="C4" s="16" t="s">
        <x:v>41</x:v>
      </x:c>
      <x:c r="D4" s="16" t="s">
        <x:v>42</x:v>
      </x:c>
      <x:c r="E4" s="16" t="s">
        <x:v>43</x:v>
      </x:c>
      <x:c r="F4" s="16" t="s">
        <x:v>44</x:v>
      </x:c>
    </x:row>
    <x:row r="5">
      <x:c r="A5" s="83" t="str">
        <x:v>Aryan Rajendra</x:v>
      </x:c>
      <x:c r="B5" s="25" t="n">
        <x:f>SUMIFS('Task Plan &amp; Gantt'!$D$7:$D$36,'Task Plan &amp; Gantt'!$C$7:$C$36,$A5,'Task Plan &amp; Gantt'!$E$7:$E$36,1)</x:f>
        <x:v>240</x:v>
      </x:c>
      <x:c r="C5" s="25" t="n">
        <x:f>SUMIFS('Task Plan &amp; Gantt'!$D$7:$D$36,'Task Plan &amp; Gantt'!$C$7:$C$36,$A5,'Task Plan &amp; Gantt'!$E$7:$E$36,2)</x:f>
        <x:v>240</x:v>
      </x:c>
      <x:c r="D5" s="25" t="n">
        <x:f>SUMIFS('Task Plan &amp; Gantt'!$D$7:$D$36,'Task Plan &amp; Gantt'!$C$7:$C$36,$A5,'Task Plan &amp; Gantt'!$E$7:$E$36,3)</x:f>
        <x:v>240</x:v>
      </x:c>
      <x:c r="E5" s="26" t="n">
        <x:f>SUM(B5:D5)</x:f>
        <x:v>720</x:v>
      </x:c>
      <x:c r="F5" s="27" t="n">
        <x:f>E5/60</x:f>
        <x:v>12</x:v>
      </x:c>
    </x:row>
    <x:row r="6">
      <x:c r="A6" s="83" t="str">
        <x:v>Riley Pittard</x:v>
      </x:c>
      <x:c r="B6" s="25" t="n">
        <x:f>SUMIFS('Task Plan &amp; Gantt'!$D$7:$D$36,'Task Plan &amp; Gantt'!$C$7:$C$36,$A6,'Task Plan &amp; Gantt'!$E$7:$E$36,1)</x:f>
        <x:v>240</x:v>
      </x:c>
      <x:c r="C6" s="25" t="n">
        <x:f>SUMIFS('Task Plan &amp; Gantt'!$D$7:$D$36,'Task Plan &amp; Gantt'!$C$7:$C$36,$A6,'Task Plan &amp; Gantt'!$E$7:$E$36,2)</x:f>
        <x:v>240</x:v>
      </x:c>
      <x:c r="D6" s="25" t="n">
        <x:f>SUMIFS('Task Plan &amp; Gantt'!$D$7:$D$36,'Task Plan &amp; Gantt'!$C$7:$C$36,$A6,'Task Plan &amp; Gantt'!$E$7:$E$36,3)</x:f>
        <x:v>240</x:v>
      </x:c>
      <x:c r="E6" s="26" t="n">
        <x:f>SUM(B6:D6)</x:f>
        <x:v>720</x:v>
      </x:c>
      <x:c r="F6" s="27" t="n">
        <x:f>E6/60</x:f>
        <x:v>12</x:v>
      </x:c>
    </x:row>
    <x:row r="7">
      <x:c r="A7" s="83" t="str">
        <x:v>Walaa Ghanduri</x:v>
      </x:c>
      <x:c r="B7" s="25" t="n">
        <x:f>SUMIFS('Task Plan &amp; Gantt'!$D$7:$D$36,'Task Plan &amp; Gantt'!$C$7:$C$36,$A7,'Task Plan &amp; Gantt'!$E$7:$E$36,1)</x:f>
        <x:v>240</x:v>
      </x:c>
      <x:c r="C7" s="25" t="n">
        <x:f>SUMIFS('Task Plan &amp; Gantt'!$D$7:$D$36,'Task Plan &amp; Gantt'!$C$7:$C$36,$A7,'Task Plan &amp; Gantt'!$E$7:$E$36,2)</x:f>
        <x:v>240</x:v>
      </x:c>
      <x:c r="D7" s="25" t="n">
        <x:f>SUMIFS('Task Plan &amp; Gantt'!$D$7:$D$36,'Task Plan &amp; Gantt'!$C$7:$C$36,$A7,'Task Plan &amp; Gantt'!$E$7:$E$36,3)</x:f>
        <x:v>240</x:v>
      </x:c>
      <x:c r="E7" s="26" t="n">
        <x:f>SUM(B7:D7)</x:f>
        <x:v>720</x:v>
      </x:c>
      <x:c r="F7" s="27" t="n">
        <x:f>E7/60</x:f>
        <x:v>12</x:v>
      </x:c>
    </x:row>
    <x:row r="8">
      <x:c r="A8" s="83" t="str">
        <x:v>Reshan Lahandapura</x:v>
      </x:c>
      <x:c r="B8" s="25" t="n">
        <x:f>SUMIFS('Task Plan &amp; Gantt'!$D$7:$D$36,'Task Plan &amp; Gantt'!$C$7:$C$36,$A8,'Task Plan &amp; Gantt'!$E$7:$E$36,1)</x:f>
        <x:v>240</x:v>
      </x:c>
      <x:c r="C8" s="25" t="n">
        <x:f>SUMIFS('Task Plan &amp; Gantt'!$D$7:$D$36,'Task Plan &amp; Gantt'!$C$7:$C$36,$A8,'Task Plan &amp; Gantt'!$E$7:$E$36,2)</x:f>
        <x:v>240</x:v>
      </x:c>
      <x:c r="D8" s="25" t="n">
        <x:f>SUMIFS('Task Plan &amp; Gantt'!$D$7:$D$36,'Task Plan &amp; Gantt'!$C$7:$C$36,$A8,'Task Plan &amp; Gantt'!$E$7:$E$36,3)</x:f>
        <x:v>240</x:v>
      </x:c>
      <x:c r="E8" s="26" t="n">
        <x:f>SUM(B8:D8)</x:f>
        <x:v>720</x:v>
      </x:c>
      <x:c r="F8" s="27" t="n">
        <x:f>E8/60</x:f>
        <x:v>12</x:v>
      </x:c>
    </x:row>
    <x:row r="9">
      <x:c r="A9" s="83" t="str">
        <x:v>Shaikh Zarin Tasnim</x:v>
      </x:c>
      <x:c r="B9" s="25" t="n">
        <x:f>SUMIFS('Task Plan &amp; Gantt'!$D$7:$D$36,'Task Plan &amp; Gantt'!$C$7:$C$36,$A9,'Task Plan &amp; Gantt'!$E$7:$E$36,1)</x:f>
        <x:v>240</x:v>
      </x:c>
      <x:c r="C9" s="25" t="n">
        <x:f>SUMIFS('Task Plan &amp; Gantt'!$D$7:$D$36,'Task Plan &amp; Gantt'!$C$7:$C$36,$A9,'Task Plan &amp; Gantt'!$E$7:$E$36,2)</x:f>
        <x:v>240</x:v>
      </x:c>
      <x:c r="D9" s="25" t="n">
        <x:f>SUMIFS('Task Plan &amp; Gantt'!$D$7:$D$36,'Task Plan &amp; Gantt'!$C$7:$C$36,$A9,'Task Plan &amp; Gantt'!$E$7:$E$36,3)</x:f>
        <x:v>240</x:v>
      </x:c>
      <x:c r="E9" s="26" t="n">
        <x:f>SUM(B9:D9)</x:f>
        <x:v>720</x:v>
      </x:c>
      <x:c r="F9" s="27" t="n">
        <x:f>E9/60</x:f>
        <x:v>12</x:v>
      </x:c>
    </x:row>
    <x:row r="11" ht="27.75" customHeight="1">
      <x:c r="A11" s="1" t="s">
        <x:v>45</x:v>
      </x:c>
      <x:c r="B11" s="1"/>
      <x:c r="C11" s="1"/>
      <x:c r="D11" s="1"/>
      <x:c r="E11" s="1"/>
      <x:c r="F11" s="1"/>
    </x:row>
  </x:sheetData>
  <x:mergeCells>
    <x:mergeCell ref="A1:F1"/>
    <x:mergeCell ref="A2:F2"/>
    <x:mergeCell ref="A11:F11"/>
  </x:mergeCells>
  <x:conditionalFormatting sqref="B5:D9">
    <x:cfRule type="expression" dxfId="1" priority="2">
      <x:formula>B5&gt;=240</x:formula>
    </x:cfRule>
    <x:cfRule type="expression" dxfId="0" priority="3">
      <x:formula>B5&lt;240</x:formula>
    </x:cfRule>
  </x:conditionalFormatting>
  <x:pageMargins left="0.7" right="0.7" top="0.75" bottom="0.75" header="0.3" footer="0.3"/>
</x:worksheet>
</file>