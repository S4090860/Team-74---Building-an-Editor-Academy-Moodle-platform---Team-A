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ba410d30f4a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4ab652e24d634fa9"/>
    <x:sheet xmlns:r="http://schemas.openxmlformats.org/officeDocument/2006/relationships" name="Task Plan &amp; Gantt" sheetId="2" r:id="R4c7a6c09b87b43b4"/>
    <x:sheet xmlns:r="http://schemas.openxmlformats.org/officeDocument/2006/relationships" name="Weekly Workload Check" sheetId="3" r:id="Raa1e38b9dd354088"/>
  </x:sheets>
</x:workbook>
</file>

<file path=xl/sharedStrings.xml><?xml version="1.0" encoding="utf-8"?>
<x:sst xmlns:x="http://schemas.openxmlformats.org/spreadsheetml/2006/main">
  <x:si>
    <x:t xml:space="preserve">Sprint Planning — Instructions &amp; Legend</x:t>
  </x:si>
  <x:si>
    <x:t xml:space="preserve">COSC2408 Programming Project 1</x:t>
  </x:si>
  <x:si>
    <x:t xml:space="preserve">What this workbook is for</x:t>
  </x:si>
  <x:si>
    <x:t xml:space="preserve">This is the detailed HOW for next sprint — the task-by-task breakdown, owner, timing and sequencing. It is a separate deliverable from your Sprint Playback slide 7 ("What's Next"), which only states WHAT you're promising. This workbook is where that promise gets broken down into real, assigned, time-estimated tasks.</x:t>
  </x:si>
  <x:si>
    <x:t xml:space="preserve">The 240-minute rule</x:t>
  </x:si>
  <x:si>
    <x:t xml:space="preserve">Every team member must be assigned at least 240 minutes (4 hours) of tasks per week, for every week of the upcoming sprint. Estimate time at a junior-practitioner level — the same standard used for your weekly task board (e.g. a straightforward API endpoint with tests is ~30 minutes, regardless of how long it actually takes you in practice). The Weekly Workload Check tab totals this automatically and flags anyone under the minimum.</x:t>
  </x:si>
  <x:si>
    <x:t xml:space="preserve">How to use the Task Plan &amp; Gantt tab</x:t>
  </x:si>
  <x:si>
    <x:t xml:space="preserve">1.  Delete the yellow example row once you understand the format — it is not a real task.</x:t>
  </x:si>
  <x:si>
    <x:t xml:space="preserve">2.  Add one row per task: name it, assign an Owner, estimate the minutes, set the Week (1–3), the Start Day WITHIN that week (1 = Monday, 5 = Friday) and the Duration in days.</x:t>
  </x:si>
  <x:si>
    <x:t xml:space="preserve">3.  The Gantt bar on the right fills in automatically based on Start Day and Duration — you don't edit it directly.</x:t>
  </x:si>
  <x:si>
    <x:t xml:space="preserve">4.  Use Dependencies to note if a task can't start until another Task ID is done.</x:t>
  </x:si>
  <x:si>
    <x:t xml:space="preserve">5.  Update Status as the sprint progresses — this tab doubles as your working plan, not just a one-off submission.</x:t>
  </x:si>
  <x:si>
    <x:t xml:space="preserve">Editable vs computed</x:t>
  </x:si>
  <x:si>
    <x:r>
      <x:t xml:space="preserve">Only the white cells in the Task Plan &amp; Gantt tab are for you to fill in (Task ID through Status). The Gantt bars and everything on the Weekly Workload Check tab are computed automatically — don't type into them. </x:t>
    </x:r>
    <x:r>
      <x:rPr>
        <x:b/>
        <x:sz val="11"/>
        <x:color rgb="FFFF0000"/>
        <x:rFont val="Arial"/>
        <x:family val="2"/>
      </x:rPr>
      <x:t xml:space="preserve">You can change the roles by maunally typing into Column C (owner) and then using the same valueein the Weekly Workload check</x:t>
    </x:r>
  </x:si>
  <x:si>
    <x:t xml:space="preserve">Submission</x:t>
  </x:si>
  <x:si>
    <x:t xml:space="preserve">Rename this file  x - team name - S1W7_ganttplan  (e.g. 90 - Food Delivery System - S1W7_ganttplan) and submit alongside your other Week 7 files. It plans the upcoming sprint, so it's due the same week as your Playback.</x:t>
  </x:si>
  <x:si>
    <x:t xml:space="preserve">Colour key</x:t>
  </x:si>
  <x:si>
    <x:t xml:space="preserve">   Example row — delete before submitting</x:t>
  </x:si>
  <x:si>
    <x:t xml:space="preserve">   Weekly Workload Check: meets the 240-minute minimum</x:t>
  </x:si>
  <x:si>
    <x:t xml:space="preserve">   Weekly Workload Check: under the 240-minute minimum</x:t>
  </x:si>
  <x:si>
    <x:t xml:space="preserve">Every member needs ≥240 min/week. See the Instructions tab before editing.</x:t>
  </x:si>
  <x:si>
    <x:t xml:space="preserve">Task ID</x:t>
  </x:si>
  <x:si>
    <x:t xml:space="preserve">Task Name</x:t>
  </x:si>
  <x:si>
    <x:t xml:space="preserve">Owner</x:t>
  </x:si>
  <x:si>
    <x:t xml:space="preserve">Est. Minutes</x:t>
  </x:si>
  <x:si>
    <x:t xml:space="preserve">Week</x:t>
  </x:si>
  <x:si>
    <x:t xml:space="preserve">Start Day
(1=Mon–5=Fri)</x:t>
  </x:si>
  <x:si>
    <x:t xml:space="preserve">Duration (days)</x:t>
  </x:si>
  <x:si>
    <x:t xml:space="preserve">Dependencies</x:t>
  </x:si>
  <x:si>
    <x:t xml:space="preserve">Week 1</x:t>
  </x:si>
  <x:si>
    <x:t xml:space="preserve">Week 2</x:t>
  </x:si>
  <x:si>
    <x:t xml:space="preserve">Week 3</x:t>
  </x:si>
  <x:si>
    <x:t xml:space="preserve">Mon</x:t>
  </x:si>
  <x:si>
    <x:t xml:space="preserve">Tue</x:t>
  </x:si>
  <x:si>
    <x:t xml:space="preserve">Wed</x:t>
  </x:si>
  <x:si>
    <x:t xml:space="preserve">Thu</x:t>
  </x:si>
  <x:si>
    <x:t xml:space="preserve">Fri</x:t>
  </x:si>
  <x:si>
    <x:t xml:space="preserve">Weekly Workload Check — 240 min (4 hrs) minimum per person, per week</x:t>
  </x:si>
  <x:si>
    <x:t xml:space="preserve">Computed automatically from the Task Plan &amp; Gantt tab. Do not edit the numbers directly.</x:t>
  </x:si>
  <x:si>
    <x:t xml:space="preserve">Role</x:t>
  </x:si>
  <x:si>
    <x:t xml:space="preserve">Week 1 (min)</x:t>
  </x:si>
  <x:si>
    <x:t xml:space="preserve">Week 2 (min)</x:t>
  </x:si>
  <x:si>
    <x:t xml:space="preserve">Week 3 (min)</x:t>
  </x:si>
  <x:si>
    <x:t xml:space="preserve">Sprint Total (min)</x:t>
  </x:si>
  <x:si>
    <x:t xml:space="preserve">Sprint Total (hrs)</x:t>
  </x:si>
  <x:si>
    <x:t xml:space="preserve">Green = meets the 240-minute weekly minimum. Red = under the minimum — rebalance tasks in the Task Plan &amp; Gantt tab.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</x:si>
</x:sst>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17">
    <x:font>
      <x:sz val="11"/>
      <x:color theme="1"/>
      <x:name val="Calibri"/>
    </x:font>
    <x:font>
      <x:b/>
      <x:sz val="16"/>
      <x:color rgb="FF1A1A1A"/>
      <x:name val="Arial"/>
    </x:font>
    <x:font>
      <x:sz val="10"/>
      <x:color rgb="FF7F7F7F"/>
      <x:name val="Arial"/>
    </x:font>
    <x:font>
      <x:b/>
      <x:sz val="12"/>
      <x:color rgb="FFE4002B"/>
      <x:name val="Arial"/>
    </x:font>
    <x:font>
      <x:sz val="11"/>
      <x:color rgb="FF1A1A1A"/>
      <x:name val="Arial"/>
    </x:font>
    <x:font>
      <x:b/>
      <x:sz val="14"/>
      <x:color rgb="FF1A1A1A"/>
      <x:name val="Arial"/>
    </x:font>
    <x:font>
      <x:i/>
      <x:sz val="10"/>
      <x:color rgb="FFE4002B"/>
      <x:name val="Arial"/>
    </x:font>
    <x:font>
      <x:b/>
      <x:sz val="10"/>
      <x:color rgb="FFFFFFFF"/>
      <x:name val="Arial"/>
    </x:font>
    <x:font>
      <x:b/>
      <x:sz val="9"/>
      <x:color rgb="FFFFFFFF"/>
      <x:name val="Arial"/>
    </x:font>
    <x:font>
      <x:sz val="8"/>
      <x:color rgb="FF7F7F7F"/>
      <x:name val="Arial"/>
    </x:font>
    <x:font>
      <x:sz val="10"/>
      <x:color rgb="FF1A1A1A"/>
      <x:name val="Arial"/>
    </x:font>
    <x:font>
      <x:b/>
      <x:sz val="13"/>
      <x:color rgb="FF1A1A1A"/>
      <x:name val="Arial"/>
    </x:font>
    <x:font>
      <x:i/>
      <x:sz val="10"/>
      <x:color rgb="FF7F7F7F"/>
      <x:name val="Arial"/>
    </x:font>
    <x:font>
      <x:b/>
      <x:sz val="10"/>
      <x:color rgb="FF1A1A1A"/>
      <x:name val="Arial"/>
    </x:font>
    <x:font>
      <x:i/>
      <x:sz val="9"/>
      <x:color rgb="FF7F7F7F"/>
      <x:name val="Arial"/>
    </x:font>
    <x:font>
      <x:b/>
      <x:sz val="11"/>
      <x:color rgb="FFFF0000"/>
      <x:name val="Arial"/>
    </x:font>
    <x:font>
      <x:sz val="11"/>
      <x:color rgb="FF1A1A1A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FFF6CC"/>
      </x:patternFill>
    </x:fill>
    <x:fill>
      <x:patternFill patternType="solid">
        <x:fgColor rgb="FFC6EFCE"/>
      </x:patternFill>
    </x:fill>
    <x:fill>
      <x:patternFill patternType="solid">
        <x:fgColor rgb="FFFDE2E2"/>
      </x:patternFill>
    </x:fill>
    <x:fill>
      <x:patternFill patternType="solid">
        <x:fgColor rgb="FF1A1A1A"/>
      </x:patternFill>
    </x:fill>
    <x:fill>
      <x:patternFill patternType="solid">
        <x:fgColor rgb="FFE4002B"/>
      </x:patternFill>
    </x:fill>
    <x:fill>
      <x:patternFill patternType="solid">
        <x:fgColor rgb="FF7F7F7F"/>
      </x:patternFill>
    </x:fill>
    <x:fill>
      <x:patternFill patternType="solid">
        <x:fgColor rgb="FFF5F5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14" fillId="0" borderId="0" xfId="0" applyFont="1" applyAlignment="1">
      <x:alignment vertical="top" wrapText="1"/>
    </x:xf>
    <x:xf numFmtId="0" fontId="12" fillId="0" borderId="0" xfId="0" applyFont="1"/>
    <x:xf numFmtId="0" fontId="11" fillId="0" borderId="0" xfId="0" applyFont="1"/>
    <x:xf numFmtId="0" fontId="7" fillId="5" borderId="0" xfId="0" applyFont="1" applyFill="1" applyAlignment="1">
      <x:alignment horizontal="center" vertical="center"/>
    </x:xf>
    <x:xf numFmtId="0" fontId="7" fillId="6" borderId="0" xfId="0" applyFont="1" applyFill="1" applyAlignment="1">
      <x:alignment horizontal="center" vertical="center"/>
    </x:xf>
    <x:xf numFmtId="0" fontId="7" fillId="5" borderId="1" xfId="0" applyFont="1" applyFill="1" applyBorder="1" applyAlignment="1">
      <x:alignment horizontal="center" vertical="center" wrapText="1"/>
    </x:xf>
    <x:xf numFmtId="0" fontId="6" fillId="0" borderId="0" xfId="0" applyFont="1"/>
    <x:xf numFmtId="0" fontId="5" fillId="0" borderId="0" xfId="0" applyFont="1"/>
    <x:xf numFmtId="0" fontId="1" fillId="0" borderId="0" xfId="0" applyFont="1"/>
    <x:xf numFmtId="0" fontId="2" fillId="0" borderId="0" xfId="0" applyFont="1"/>
    <x:xf numFmtId="0" fontId="3" fillId="0" borderId="0" xfId="0" applyFont="1" applyAlignment="1">
      <x:alignment vertical="top" wrapText="1"/>
    </x:xf>
    <x:xf numFmtId="0" fontId="4" fillId="0" borderId="0" xfId="0" applyFont="1" applyAlignment="1">
      <x:alignment vertical="top" wrapText="1"/>
    </x:xf>
    <x:xf numFmtId="0" fontId="4" fillId="2" borderId="0" xfId="0" applyFont="1" applyFill="1" applyAlignment="1">
      <x:alignment vertical="center"/>
    </x:xf>
    <x:xf numFmtId="0" fontId="4" fillId="3" borderId="0" xfId="0" applyFont="1" applyFill="1" applyAlignment="1">
      <x:alignment vertical="center"/>
    </x:xf>
    <x:xf numFmtId="0" fontId="4" fillId="4" borderId="0" xfId="0" applyFont="1" applyFill="1" applyAlignment="1">
      <x:alignment vertical="center"/>
    </x:xf>
    <x:xf numFmtId="0" fontId="7" fillId="5" borderId="1" xfId="0" applyFont="1" applyFill="1" applyBorder="1" applyAlignment="1">
      <x:alignment horizontal="center" vertical="center" wrapText="1"/>
    </x:xf>
    <x:xf numFmtId="0" fontId="8" fillId="7" borderId="0" xfId="0" applyFont="1" applyFill="1" applyAlignment="1">
      <x:alignment horizontal="center" vertical="center"/>
    </x:xf>
    <x:xf numFmtId="0" fontId="9" fillId="8" borderId="1" xfId="0" applyFont="1" applyFill="1" applyBorder="1" applyAlignment="1">
      <x:alignment horizontal="center" vertical="center"/>
    </x:xf>
    <x:xf numFmtId="0" fontId="10" fillId="2" borderId="1" xfId="0" applyFont="1" applyFill="1" applyBorder="1" applyAlignment="1">
      <x:alignment horizontal="center" vertical="center"/>
    </x:xf>
    <x:xf numFmtId="0" fontId="10" fillId="2" borderId="1" xfId="0" applyFont="1" applyFill="1" applyBorder="1" applyAlignment="1">
      <x:alignment horizontal="left" vertical="center" wrapText="1"/>
    </x:xf>
    <x:xf numFmtId="0" fontId="10" fillId="2" borderId="1" xfId="0" applyFont="1" applyFill="1" applyBorder="1" applyAlignment="1">
      <x:alignment horizontal="left" vertical="center"/>
    </x:xf>
    <x:xf numFmtId="0" fontId="0" fillId="9" borderId="1" xfId="0" applyFill="1" applyBorder="1"/>
    <x:xf numFmtId="0" fontId="0" fillId="9" borderId="1" xfId="0" applyFill="1" applyBorder="1" applyAlignment="1">
      <x:alignment horizontal="center"/>
    </x:xf>
    <x:xf numFmtId="0" fontId="13" fillId="0" borderId="1" xfId="0" applyFont="1" applyBorder="1"/>
    <x:xf numFmtId="0" fontId="10" fillId="0" borderId="1" xfId="0" applyFont="1" applyBorder="1" applyAlignment="1">
      <x:alignment horizontal="center"/>
    </x:xf>
    <x:xf numFmtId="0" fontId="13" fillId="0" borderId="1" xfId="0" applyFont="1" applyBorder="1" applyAlignment="1">
      <x:alignment horizontal="center"/>
    </x:xf>
    <x:xf numFmtId="164" fontId="10" fillId="0" borderId="1" xfId="0" applyNumberFormat="1" applyFont="1" applyBorder="1" applyAlignment="1">
      <x:alignment horizontal="center"/>
    </x:xf>
    <x:xf numFmtId="0" fontId="16" fillId="0" borderId="0" xfId="0" applyFont="1" applyAlignment="1">
      <x:alignment vertical="top" wrapText="1"/>
    </x:xf>
    <x:xf numFmtId="0" fontId="0" fillId="0" borderId="2" xfId="0" applyNumberFormat="1" applyFont="1" applyFill="1" applyBorder="1"/>
    <x:xf numFmtId="0" fontId="14" fillId="0" borderId="2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/>
    <x:xf numFmtId="0" fontId="11" fillId="0" borderId="2" xfId="0" applyNumberFormat="1" applyFont="1" applyFill="1" applyBorder="1"/>
    <x:xf numFmtId="0" fontId="7" fillId="5" borderId="2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7" fillId="5" borderId="3" xfId="0" applyNumberFormat="1" applyFont="1" applyFill="1" applyBorder="1" applyAlignment="1">
      <x:alignment horizontal="center" vertical="center" wrapText="1"/>
    </x:xf>
    <x:xf numFmtId="0" fontId="6" fillId="0" borderId="2" xfId="0" applyNumberFormat="1" applyFont="1" applyFill="1" applyBorder="1"/>
    <x:xf numFmtId="0" fontId="5" fillId="0" borderId="2" xfId="0" applyNumberFormat="1" applyFont="1" applyFill="1" applyBorder="1"/>
    <x:xf numFmtId="0" fontId="1" fillId="0" borderId="2" xfId="0" applyNumberFormat="1" applyFont="1" applyFill="1" applyBorder="1"/>
    <x:xf numFmtId="0" fontId="2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8" fillId="7" borderId="2" xfId="0" applyNumberFormat="1" applyFont="1" applyFill="1" applyBorder="1" applyAlignment="1">
      <x:alignment horizontal="center" vertical="center"/>
    </x:xf>
    <x:xf numFmtId="0" fontId="9" fillId="8" borderId="3" xfId="0" applyNumberFormat="1" applyFont="1" applyFill="1" applyBorder="1" applyAlignment="1">
      <x:alignment horizontal="center" vertical="center"/>
    </x:xf>
    <x:xf numFmtId="0" fontId="10" fillId="2" borderId="3" xfId="0" applyNumberFormat="1" applyFont="1" applyFill="1" applyBorder="1" applyAlignment="1">
      <x:alignment horizontal="center" vertical="center"/>
    </x:xf>
    <x:xf numFmtId="0" fontId="10" fillId="2" borderId="3" xfId="0" applyNumberFormat="1" applyFont="1" applyFill="1" applyBorder="1" applyAlignment="1">
      <x:alignment horizontal="left" vertical="center" wrapText="1"/>
    </x:xf>
    <x:xf numFmtId="0" fontId="10" fillId="2" borderId="3" xfId="0" applyNumberFormat="1" applyFont="1" applyFill="1" applyBorder="1" applyAlignment="1">
      <x:alignment horizontal="left" vertical="center"/>
    </x:xf>
    <x:xf numFmtId="0" fontId="0" fillId="9" borderId="3" xfId="0" applyNumberFormat="1" applyFont="1" applyFill="1" applyBorder="1"/>
    <x:xf numFmtId="0" fontId="0" fillId="9" borderId="3" xfId="0" applyNumberFormat="1" applyFont="1" applyFill="1" applyBorder="1" applyAlignment="1">
      <x:alignment horizontal="center"/>
    </x:xf>
    <x:xf numFmtId="0" fontId="13" fillId="0" borderId="3" xfId="0" applyNumberFormat="1" applyFont="1" applyFill="1" applyBorder="1"/>
    <x:xf numFmtId="0" fontId="10" fillId="0" borderId="3" xfId="0" applyNumberFormat="1" applyFont="1" applyFill="1" applyBorder="1" applyAlignment="1">
      <x:alignment horizontal="center"/>
    </x:xf>
    <x:xf numFmtId="0" fontId="13" fillId="0" borderId="3" xfId="0" applyNumberFormat="1" applyFont="1" applyFill="1" applyBorder="1" applyAlignment="1">
      <x:alignment horizontal="center"/>
    </x:xf>
    <x:xf numFmtId="164" fontId="10" fillId="0" borderId="3" xfId="0" applyNumberFormat="1" applyFont="1" applyFill="1" applyBorder="1" applyAlignment="1">
      <x:alignment horizontal="center"/>
    </x:xf>
    <x:xf numFmtId="0" fontId="10" fillId="2" borderId="1" xfId="0" applyNumberFormat="1" applyFont="1" applyFill="1" applyBorder="1" applyAlignment="1">
      <x:alignment horizontal="center" vertical="center" wrapText="1"/>
    </x:xf>
    <x:xf numFmtId="0" fontId="10" fillId="2" borderId="1" xfId="0" applyNumberFormat="1" applyFont="1" applyFill="1" applyBorder="1" applyAlignment="1">
      <x:alignment horizontal="left" vertical="center" wrapText="1"/>
    </x:xf>
    <x:xf numFmtId="0" fontId="0" fillId="9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horizontal="center" wrapText="1"/>
    </x:xf>
    <x:xf numFmtId="0" fontId="10" fillId="2" borderId="3" xfId="0" applyNumberFormat="1" applyFont="1" applyFill="1" applyBorder="1" applyAlignment="1">
      <x:alignment horizontal="center" vertical="center" wrapText="1"/>
    </x:xf>
    <x:xf numFmtId="0" fontId="0" fillId="9" borderId="3" xfId="0" applyNumberFormat="1" applyFont="1" applyFill="1" applyBorder="1" applyAlignment="1">
      <x:alignment wrapText="1"/>
    </x:xf>
    <x:xf numFmtId="0" fontId="0" fillId="9" borderId="3" xfId="0" applyNumberFormat="1" applyFont="1" applyFill="1" applyBorder="1" applyAlignment="1">
      <x:alignment horizontal="center" wrapText="1"/>
    </x:xf>
    <x:xf numFmtId="0" fontId="0" fillId="9" borderId="1" xfId="0" applyNumberFormat="1" applyFont="1" applyFill="1" applyBorder="1" applyAlignment="1">
      <x:alignment vertical="center" wrapText="1"/>
    </x:xf>
    <x:xf numFmtId="0" fontId="0" fillId="9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/>
    <x:xf numFmtId="0" fontId="11" fillId="0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horizontal="center" vertical="center"/>
    </x:xf>
    <x:xf numFmtId="0" fontId="7" fillId="5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5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9" fillId="8" borderId="1" xfId="0" applyNumberFormat="1" applyFont="1" applyFill="1" applyBorder="1" applyAlignment="1">
      <x:alignment horizontal="center" vertical="center"/>
    </x:xf>
    <x:xf numFmtId="0" fontId="10" fillId="2" borderId="1" xfId="0" applyNumberFormat="1" applyFont="1" applyFill="1" applyBorder="1" applyAlignment="1">
      <x:alignment horizontal="center" vertical="center"/>
    </x:xf>
    <x:xf numFmtId="0" fontId="10" fillId="2" borderId="1" xfId="0" applyNumberFormat="1" applyFont="1" applyFill="1" applyBorder="1" applyAlignment="1">
      <x:alignment horizontal="left" vertical="center"/>
    </x:xf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horizontal="center"/>
    </x:xf>
    <x:xf numFmtId="0" fontId="13" fillId="0" borderId="1" xfId="0" applyNumberFormat="1" applyFont="1" applyFill="1" applyBorder="1"/>
    <x:xf numFmtId="0" fontId="10" fillId="0" borderId="1" xfId="0" applyNumberFormat="1" applyFont="1" applyFill="1" applyBorder="1" applyAlignment="1">
      <x:alignment horizontal="center"/>
    </x:xf>
    <x:xf numFmtId="0" fontId="13" fillId="0" borderId="1" xfId="0" applyNumberFormat="1" applyFont="1" applyFill="1" applyBorder="1" applyAlignment="1">
      <x:alignment horizontal="center"/>
    </x:xf>
    <x:xf numFmtId="164" fontId="1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10" fillId="10" borderId="1" xfId="0" applyNumberFormat="1" applyFont="1" applyFill="1" applyBorder="1" applyAlignment="1">
      <x:alignment horizontal="center" vertical="center" wrapText="1"/>
    </x:xf>
    <x:xf numFmtId="0" fontId="10" fillId="10" borderId="1" xfId="0" applyNumberFormat="1" applyFont="1" applyFill="1" applyBorder="1" applyAlignment="1">
      <x:alignment horizontal="left" vertical="center" wrapText="1"/>
    </x:xf>
    <x:xf numFmtId="0" fontId="0" fillId="10" borderId="1" xfId="0" applyNumberFormat="1" applyFont="1" applyFill="1" applyBorder="1" applyAlignment="1">
      <x:alignment horizontal="center" vertical="center" wrapText="1"/>
    </x:xf>
    <x:xf numFmtId="0" fontId="0" fillId="10" borderId="1" xfId="0" applyNumberFormat="1" applyFont="1" applyFill="1" applyBorder="1" applyAlignment="1">
      <x:alignment vertical="center" wrapText="1"/>
    </x:xf>
    <x:xf numFmtId="0" fontId="0" fillId="10" borderId="1" xfId="0" applyNumberFormat="1" applyFont="1" applyFill="1" applyBorder="1" applyAlignment="1">
      <x:alignment horizontal="center" wrapText="1"/>
    </x:xf>
    <x:xf numFmtId="0" fontId="0" fillId="10" borderId="1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horizontal="center" wrapText="1"/>
    </x:xf>
    <x:xf numFmtId="0" fontId="0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ill>
        <x:patternFill>
          <x:bgColor rgb="FFFDE2E2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E4002B"/>
        </x:patternFill>
      </x:fill>
    </x:dxf>
    <x:dxf>
      <x:fill>
        <x:patternFill patternType="solid">
          <x:bgColor rgb="FFF00028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</x:dxfs>
  <x:colors>
    <x:indexedColors>
      <x:rgbColor rgb="FF000000"/>
      <x:rgbColor rgb="FFFFFFFF"/>
      <x:rgbColor rgb="FFE4002B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7F7F7F"/>
      <x:rgbColor rgb="FF9999FF"/>
      <x:rgbColor rgb="FF993366"/>
      <x:rgbColor rgb="FFFFF6CC"/>
      <x:rgbColor rgb="FFF5F5F5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6EFCE"/>
      <x:rgbColor rgb="FFFFFF99"/>
      <x:rgbColor rgb="FF99CCFF"/>
      <x:rgbColor rgb="FFFF99CC"/>
      <x:rgbColor rgb="FFCC99FF"/>
      <x:rgbColor rgb="FFFDE2E2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1A1A1A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ab717b35494874" /><Relationship Type="http://schemas.openxmlformats.org/officeDocument/2006/relationships/theme" Target="/xl/theme/theme1.xml" Id="Ra4f039a4aa6144fe" /><Relationship Type="http://schemas.openxmlformats.org/officeDocument/2006/relationships/sharedStrings" Target="/xl/sharedStrings.xml" Id="R47776b81023d41f8" /><Relationship Type="http://schemas.openxmlformats.org/officeDocument/2006/relationships/worksheet" Target="/xl/worksheets/sheet1.xml" Id="R4ab652e24d634fa9" /><Relationship Type="http://schemas.openxmlformats.org/officeDocument/2006/relationships/worksheet" Target="/xl/worksheets/sheet2.xml" Id="R4c7a6c09b87b43b4" /><Relationship Type="http://schemas.openxmlformats.org/officeDocument/2006/relationships/worksheet" Target="/xl/worksheets/sheet3.xml" Id="Raa1e38b9dd35408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7109375" defaultRowHeight="15"/>
  <x:cols>
    <x:col min="1" max="1" width="3" customWidth="1"/>
    <x:col min="2" max="2" width="78" customWidth="1"/>
  </x:cols>
  <x:sheetData>
    <x:row r="2" ht="20.25">
      <x:c r="B2" s="9" t="s">
        <x:v>0</x:v>
      </x:c>
    </x:row>
    <x:row r="3">
      <x:c r="B3" s="10" t="s">
        <x:v>1</x:v>
      </x:c>
    </x:row>
    <x:row r="5" ht="15.75">
      <x:c r="B5" s="11" t="s">
        <x:v>2</x:v>
      </x:c>
    </x:row>
    <x:row r="6" ht="71.25">
      <x:c r="B6" s="12" t="s">
        <x:v>3</x:v>
      </x:c>
    </x:row>
    <x:row r="8" ht="15.75">
      <x:c r="B8" s="11" t="s">
        <x:v>4</x:v>
      </x:c>
    </x:row>
    <x:row r="9" ht="85.5">
      <x:c r="B9" s="12" t="s">
        <x:v>5</x:v>
      </x:c>
    </x:row>
    <x:row r="11" ht="15.75">
      <x:c r="B11" s="11" t="s">
        <x:v>6</x:v>
      </x:c>
    </x:row>
    <x:row r="12" ht="28.5">
      <x:c r="B12" s="12" t="s">
        <x:v>7</x:v>
      </x:c>
    </x:row>
    <x:row r="13" ht="42.75">
      <x:c r="B13" s="12" t="s">
        <x:v>8</x:v>
      </x:c>
    </x:row>
    <x:row r="14" ht="28.5">
      <x:c r="B14" s="12" t="s">
        <x:v>9</x:v>
      </x:c>
    </x:row>
    <x:row r="15">
      <x:c r="B15" s="12" t="s">
        <x:v>10</x:v>
      </x:c>
    </x:row>
    <x:row r="16" ht="28.5">
      <x:c r="B16" s="12" t="s">
        <x:v>11</x:v>
      </x:c>
    </x:row>
    <x:row r="18" ht="15.75">
      <x:c r="B18" s="11" t="s">
        <x:v>12</x:v>
      </x:c>
    </x:row>
    <x:row r="19" ht="73.5">
      <x:c r="B19" s="28" t="s">
        <x:v>13</x:v>
      </x:c>
    </x:row>
    <x:row r="21" ht="15.75">
      <x:c r="B21" s="11" t="s">
        <x:v>14</x:v>
      </x:c>
    </x:row>
    <x:row r="22" ht="42.75">
      <x:c r="B22" s="28" t="s">
        <x:v>15</x:v>
      </x:c>
    </x:row>
    <x:row r="24" ht="15.75">
      <x:c r="B24" s="11" t="s">
        <x:v>16</x:v>
      </x:c>
    </x:row>
    <x:row r="25" ht="19.5" customHeight="1">
      <x:c r="B25" s="13" t="s">
        <x:v>17</x:v>
      </x:c>
    </x:row>
    <x:row r="26" ht="19.5" customHeight="1">
      <x:c r="B26" s="14" t="s">
        <x:v>18</x:v>
      </x:c>
    </x:row>
    <x:row r="27" ht="19.5" customHeight="1">
      <x:c r="B27" s="15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7109375" defaultRowHeight="15"/>
  <x:cols>
    <x:col min="1" max="1" width="9" customWidth="1"/>
    <x:col min="2" max="2" width="42" hidden="0" customWidth="1"/>
    <x:col min="3" max="3" width="13" customWidth="1"/>
    <x:col min="4" max="4" width="11" customWidth="1"/>
    <x:col min="5" max="5" width="7" customWidth="1"/>
    <x:col min="6" max="6" width="9" customWidth="1"/>
    <x:col min="7" max="7" width="12" customWidth="1"/>
    <x:col min="8" max="8" width="15" hidden="0" customWidth="1"/>
    <x:col min="9" max="23" width="3.140625" customWidth="1"/>
  </x:cols>
  <x:sheetData>
    <x:row r="1" ht="21.75" customHeight="1">
      <x:c r="A1" s="8" t="str">
        <x:v>Team 74 — Next-Sprint Task Plan &amp; Gantt   |   Sprint 2 (Weeks 1–3)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  <x:c r="N1" s="8"/>
      <x:c r="O1" s="8"/>
      <x:c r="P1" s="8"/>
      <x:c r="Q1" s="8"/>
      <x:c r="R1" s="8"/>
      <x:c r="S1" s="8"/>
      <x:c r="T1" s="8"/>
      <x:c r="U1" s="8"/>
      <x:c r="V1" s="8"/>
      <x:c r="W1" s="8"/>
    </x:row>
    <x:row r="2">
      <x:c r="A2" s="7" t="s">
        <x:v>20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</x:row>
    <x:row r="4" ht="15.75" customHeight="1">
      <x:c r="A4" s="6" t="s">
        <x:v>21</x:v>
      </x:c>
      <x:c r="B4" s="6" t="s">
        <x:v>22</x:v>
      </x:c>
      <x:c r="C4" s="6" t="s">
        <x:v>23</x:v>
      </x:c>
      <x:c r="D4" s="6" t="s">
        <x:v>24</x:v>
      </x:c>
      <x:c r="E4" s="6" t="s">
        <x:v>25</x:v>
      </x:c>
      <x:c r="F4" s="6" t="s">
        <x:v>26</x:v>
      </x:c>
      <x:c r="G4" s="6" t="s">
        <x:v>27</x:v>
      </x:c>
      <x:c r="H4" s="6" t="s">
        <x:v>28</x:v>
      </x:c>
      <x:c r="I4" s="5" t="s">
        <x:v>29</x:v>
      </x:c>
      <x:c r="J4" s="5"/>
      <x:c r="K4" s="5"/>
      <x:c r="L4" s="5"/>
      <x:c r="M4" s="5"/>
      <x:c r="N4" s="4" t="s">
        <x:v>30</x:v>
      </x:c>
      <x:c r="O4" s="4"/>
      <x:c r="P4" s="4"/>
      <x:c r="Q4" s="4"/>
      <x:c r="R4" s="4"/>
      <x:c r="S4" s="5" t="s">
        <x:v>31</x:v>
      </x:c>
      <x:c r="T4" s="5"/>
      <x:c r="U4" s="5"/>
      <x:c r="V4" s="5"/>
      <x:c r="W4" s="5"/>
    </x:row>
    <x:row r="5" ht="13.5" customHeight="1">
      <x:c r="A5" s="6"/>
      <x:c r="B5" s="6"/>
      <x:c r="C5" s="6"/>
      <x:c r="D5" s="6"/>
      <x:c r="E5" s="6"/>
      <x:c r="F5" s="6"/>
      <x:c r="G5" s="6"/>
      <x:c r="H5" s="6"/>
      <x:c r="I5" s="17" t="s">
        <x:v>32</x:v>
      </x:c>
      <x:c r="J5" s="17" t="s">
        <x:v>33</x:v>
      </x:c>
      <x:c r="K5" s="17" t="s">
        <x:v>34</x:v>
      </x:c>
      <x:c r="L5" s="17" t="s">
        <x:v>35</x:v>
      </x:c>
      <x:c r="M5" s="17" t="s">
        <x:v>36</x:v>
      </x:c>
      <x:c r="N5" s="17" t="s">
        <x:v>32</x:v>
      </x:c>
      <x:c r="O5" s="17" t="s">
        <x:v>33</x:v>
      </x:c>
      <x:c r="P5" s="17" t="s">
        <x:v>34</x:v>
      </x:c>
      <x:c r="Q5" s="17" t="s">
        <x:v>35</x:v>
      </x:c>
      <x:c r="R5" s="17" t="s">
        <x:v>36</x:v>
      </x:c>
      <x:c r="S5" s="17" t="s">
        <x:v>32</x:v>
      </x:c>
      <x:c r="T5" s="17" t="s">
        <x:v>33</x:v>
      </x:c>
      <x:c r="U5" s="17" t="s">
        <x:v>34</x:v>
      </x:c>
      <x:c r="V5" s="17" t="s">
        <x:v>35</x:v>
      </x:c>
      <x:c r="W5" s="17" t="s">
        <x:v>36</x:v>
      </x:c>
    </x:row>
    <x:row r="6" ht="12" customHeight="1">
      <x:c r="A6" s="6"/>
      <x:c r="B6" s="6"/>
      <x:c r="C6" s="6"/>
      <x:c r="D6" s="6"/>
      <x:c r="E6" s="6"/>
      <x:c r="F6" s="6"/>
      <x:c r="G6" s="6"/>
      <x:c r="H6" s="6"/>
      <x:c r="I6" s="18">
        <x:v>1</x:v>
      </x:c>
      <x:c r="J6" s="18">
        <x:v>2</x:v>
      </x:c>
      <x:c r="K6" s="18">
        <x:v>3</x:v>
      </x:c>
      <x:c r="L6" s="18">
        <x:v>4</x:v>
      </x:c>
      <x:c r="M6" s="18">
        <x:v>5</x:v>
      </x:c>
      <x:c r="N6" s="18">
        <x:v>6</x:v>
      </x:c>
      <x:c r="O6" s="18">
        <x:v>7</x:v>
      </x:c>
      <x:c r="P6" s="18">
        <x:v>8</x:v>
      </x:c>
      <x:c r="Q6" s="18">
        <x:v>9</x:v>
      </x:c>
      <x:c r="R6" s="18">
        <x:v>10</x:v>
      </x:c>
      <x:c r="S6" s="18">
        <x:v>11</x:v>
      </x:c>
      <x:c r="T6" s="18">
        <x:v>12</x:v>
      </x:c>
      <x:c r="U6" s="18">
        <x:v>13</x:v>
      </x:c>
      <x:c r="V6" s="18">
        <x:v>14</x:v>
      </x:c>
      <x:c r="W6" s="18">
        <x:v>15</x:v>
      </x:c>
    </x:row>
    <x:row r="7" ht="62" customHeight="1">
      <x:c r="A7" s="95" t="str">
        <x:v>T1</x:v>
      </x:c>
      <x:c r="B7" s="96" t="str">
        <x:v>Initialise the Sprint 2 Core MVP in Planner/Gantt; assign role tasks, evidence expectations and review checkpoints</x:v>
      </x:c>
      <x:c r="C7" s="96" t="str">
        <x:v>PM</x:v>
      </x:c>
      <x:c r="D7" s="95" t="n">
        <x:v>90</x:v>
      </x:c>
      <x:c r="E7" s="95" t="n">
        <x:v>1</x:v>
      </x:c>
      <x:c r="F7" s="95" t="n">
        <x:v>1</x:v>
      </x:c>
      <x:c r="G7" s="95" t="n">
        <x:v>1</x:v>
      </x:c>
      <x:c r="H7" s="96" t="str">
        <x:v>-</x:v>
      </x:c>
      <x:c r="I7" s="22"/>
      <x:c r="J7" s="22"/>
      <x:c r="K7" s="22"/>
      <x:c r="L7" s="22"/>
      <x:c r="M7" s="22"/>
      <x:c r="N7" s="22"/>
      <x:c r="O7" s="22"/>
      <x:c r="P7" s="22"/>
      <x:c r="Q7" s="22"/>
      <x:c r="R7" s="22"/>
      <x:c r="S7" s="22"/>
      <x:c r="T7" s="22"/>
      <x:c r="U7" s="22"/>
      <x:c r="V7" s="22"/>
      <x:c r="W7" s="22"/>
    </x:row>
    <x:row r="8" ht="62" customHeight="1">
      <x:c r="A8" s="97" t="str">
        <x:v>T2</x:v>
      </x:c>
      <x:c r="B8" s="98" t="str">
        <x:v>Update the Sprint 2 risk/decision baseline and prepare client/supervisor review plus the route for exact OAPA site-level requests</x:v>
      </x:c>
      <x:c r="C8" s="98" t="str">
        <x:v>PM</x:v>
      </x:c>
      <x:c r="D8" s="97" t="n">
        <x:v>150</x:v>
      </x:c>
      <x:c r="E8" s="97" t="n">
        <x:v>1</x:v>
      </x:c>
      <x:c r="F8" s="97" t="n">
        <x:v>2</x:v>
      </x:c>
      <x:c r="G8" s="97" t="n">
        <x:v>4</x:v>
      </x:c>
      <x:c r="H8" s="98" t="str">
        <x:v>T1</x:v>
      </x:c>
      <x:c r="I8" s="22"/>
      <x:c r="J8" s="22"/>
      <x:c r="K8" s="22"/>
      <x:c r="L8" s="22"/>
      <x:c r="M8" s="22"/>
      <x:c r="N8" s="22"/>
      <x:c r="O8" s="22"/>
      <x:c r="P8" s="22"/>
      <x:c r="Q8" s="22"/>
      <x:c r="R8" s="22"/>
      <x:c r="S8" s="22"/>
      <x:c r="T8" s="22"/>
      <x:c r="U8" s="22"/>
      <x:c r="V8" s="22"/>
      <x:c r="W8" s="22"/>
    </x:row>
    <x:row r="9" ht="62" customHeight="1">
      <x:c r="A9" s="97" t="str">
        <x:v>T3</x:v>
      </x:c>
      <x:c r="B9" s="98" t="str">
        <x:v>Convert the approved Core MVP acceptance criteria into build/test checks for course structure, progression, tracking and reuse</x:v>
      </x:c>
      <x:c r="C9" s="98" t="str">
        <x:v>Business/QA</x:v>
      </x:c>
      <x:c r="D9" s="97" t="n">
        <x:v>120</x:v>
      </x:c>
      <x:c r="E9" s="97" t="n">
        <x:v>1</x:v>
      </x:c>
      <x:c r="F9" s="97" t="n">
        <x:v>1</x:v>
      </x:c>
      <x:c r="G9" s="97" t="n">
        <x:v>2</x:v>
      </x:c>
      <x:c r="H9" s="98" t="str">
        <x:v>-</x:v>
      </x:c>
      <x:c r="I9" s="22"/>
      <x:c r="J9" s="22"/>
      <x:c r="K9" s="22"/>
      <x:c r="L9" s="22"/>
      <x:c r="M9" s="22"/>
      <x:c r="N9" s="22"/>
      <x:c r="O9" s="22"/>
      <x:c r="P9" s="22"/>
      <x:c r="Q9" s="22"/>
      <x:c r="R9" s="22"/>
      <x:c r="S9" s="22"/>
      <x:c r="T9" s="22"/>
      <x:c r="U9" s="22"/>
      <x:c r="V9" s="22"/>
      <x:c r="W9" s="22"/>
    </x:row>
    <x:row r="10" ht="62" customHeight="1">
      <x:c r="A10" s="97" t="str">
        <x:v>T4</x:v>
      </x:c>
      <x:c r="B10" s="98" t="str">
        <x:v>Confirm and record Week 1 requirement decisions for workshops, assessment, reporting and any peer-review scope; hand off unresolved items</x:v>
      </x:c>
      <x:c r="C10" s="98" t="str">
        <x:v>Business/QA</x:v>
      </x:c>
      <x:c r="D10" s="97" t="n">
        <x:v>120</x:v>
      </x:c>
      <x:c r="E10" s="97" t="n">
        <x:v>1</x:v>
      </x:c>
      <x:c r="F10" s="97" t="n">
        <x:v>3</x:v>
      </x:c>
      <x:c r="G10" s="97" t="n">
        <x:v>2</x:v>
      </x:c>
      <x:c r="H10" s="98" t="str">
        <x:v>T3</x:v>
      </x:c>
      <x:c r="I10" s="22"/>
      <x:c r="J10" s="22"/>
      <x:c r="K10" s="22"/>
      <x:c r="L10" s="22"/>
      <x:c r="M10" s="22"/>
      <x:c r="N10" s="22"/>
      <x:c r="O10" s="22"/>
      <x:c r="P10" s="22"/>
      <x:c r="Q10" s="22"/>
      <x:c r="R10" s="22"/>
      <x:c r="S10" s="22"/>
      <x:c r="T10" s="22"/>
      <x:c r="U10" s="22"/>
      <x:c r="V10" s="22"/>
      <x:c r="W10" s="22"/>
    </x:row>
    <x:row r="11" ht="62" customHeight="1">
      <x:c r="A11" s="97" t="str">
        <x:v>T5</x:v>
      </x:c>
      <x:c r="B11" s="98" t="str">
        <x:v>Issue the Moodle-ready UX handoff for Course Home, module layout, navigation/signposting and current OAPA Brand Book rules</x:v>
      </x:c>
      <x:c r="C11" s="98" t="str">
        <x:v>UX/Research</x:v>
      </x:c>
      <x:c r="D11" s="97" t="n">
        <x:v>150</x:v>
      </x:c>
      <x:c r="E11" s="97" t="n">
        <x:v>1</x:v>
      </x:c>
      <x:c r="F11" s="97" t="n">
        <x:v>1</x:v>
      </x:c>
      <x:c r="G11" s="97" t="n">
        <x:v>2</x:v>
      </x:c>
      <x:c r="H11" s="98" t="str">
        <x:v>-</x:v>
      </x:c>
      <x:c r="I11" s="22"/>
      <x:c r="J11" s="22"/>
      <x:c r="K11" s="22"/>
      <x:c r="L11" s="22"/>
      <x:c r="M11" s="22"/>
      <x:c r="N11" s="22"/>
      <x:c r="O11" s="22"/>
      <x:c r="P11" s="22"/>
      <x:c r="Q11" s="22"/>
      <x:c r="R11" s="22"/>
      <x:c r="S11" s="22"/>
      <x:c r="T11" s="22"/>
      <x:c r="U11" s="22"/>
      <x:c r="V11" s="22"/>
      <x:c r="W11" s="22"/>
    </x:row>
    <x:row r="12" ht="62" customHeight="1">
      <x:c r="A12" s="97" t="str">
        <x:v>T6</x:v>
      </x:c>
      <x:c r="B12" s="98" t="str">
        <x:v>Map the approved UX to real Academy constraints with development; flag theme/site-level needs and accessible course-level alternatives</x:v>
      </x:c>
      <x:c r="C12" s="98" t="str">
        <x:v>UX/Research</x:v>
      </x:c>
      <x:c r="D12" s="97" t="n">
        <x:v>90</x:v>
      </x:c>
      <x:c r="E12" s="97" t="n">
        <x:v>1</x:v>
      </x:c>
      <x:c r="F12" s="97" t="n">
        <x:v>3</x:v>
      </x:c>
      <x:c r="G12" s="97" t="n">
        <x:v>2</x:v>
      </x:c>
      <x:c r="H12" s="98" t="str">
        <x:v>T5</x:v>
      </x:c>
      <x:c r="I12" s="22"/>
      <x:c r="J12" s="22"/>
      <x:c r="K12" s="22"/>
      <x:c r="L12" s="22"/>
      <x:c r="M12" s="22"/>
      <x:c r="N12" s="22"/>
      <x:c r="O12" s="22"/>
      <x:c r="P12" s="22"/>
      <x:c r="Q12" s="22"/>
      <x:c r="R12" s="22"/>
      <x:c r="S12" s="22"/>
      <x:c r="T12" s="22"/>
      <x:c r="U12" s="22"/>
      <x:c r="V12" s="22"/>
      <x:c r="W12" s="22"/>
    </x:row>
    <x:row r="13" ht="62" customHeight="1">
      <x:c r="A13" s="97" t="str">
        <x:v>T7</x:v>
      </x:c>
      <x:c r="B13" s="98" t="str">
        <x:v>Configure the reusable course shell in the OAPA dev course: Course Home, Modules 1–3, Workshops 1–3 and Assessment placeholders</x:v>
      </x:c>
      <x:c r="C13" s="98" t="str">
        <x:v>Dev 1</x:v>
      </x:c>
      <x:c r="D13" s="97" t="n">
        <x:v>150</x:v>
      </x:c>
      <x:c r="E13" s="97" t="n">
        <x:v>1</x:v>
      </x:c>
      <x:c r="F13" s="97" t="n">
        <x:v>2</x:v>
      </x:c>
      <x:c r="G13" s="97" t="n">
        <x:v>3</x:v>
      </x:c>
      <x:c r="H13" s="98" t="str">
        <x:v>T3,T5</x:v>
      </x:c>
      <x:c r="I13" s="22"/>
      <x:c r="J13" s="22"/>
      <x:c r="K13" s="22"/>
      <x:c r="L13" s="22"/>
      <x:c r="M13" s="22"/>
      <x:c r="N13" s="22"/>
      <x:c r="O13" s="22"/>
      <x:c r="P13" s="22"/>
      <x:c r="Q13" s="22"/>
      <x:c r="R13" s="22"/>
      <x:c r="S13" s="22"/>
      <x:c r="T13" s="22"/>
      <x:c r="U13" s="22"/>
      <x:c r="V13" s="22"/>
      <x:c r="W13" s="22"/>
    </x:row>
    <x:row r="14" ht="62" customHeight="1">
      <x:c r="A14" s="97" t="str">
        <x:v>T8</x:v>
      </x:c>
      <x:c r="B14" s="98" t="str">
        <x:v>Configure sequential completion/restricted access and the visible progress pattern; capture Student-view evidence of lock/unlock behaviour</x:v>
      </x:c>
      <x:c r="C14" s="98" t="str">
        <x:v>Dev 1</x:v>
      </x:c>
      <x:c r="D14" s="97" t="n">
        <x:v>90</x:v>
      </x:c>
      <x:c r="E14" s="97" t="n">
        <x:v>1</x:v>
      </x:c>
      <x:c r="F14" s="97" t="n">
        <x:v>4</x:v>
      </x:c>
      <x:c r="G14" s="97" t="n">
        <x:v>2</x:v>
      </x:c>
      <x:c r="H14" s="98" t="str">
        <x:v>T7</x:v>
      </x:c>
      <x:c r="I14" s="22"/>
      <x:c r="J14" s="22"/>
      <x:c r="K14" s="22"/>
      <x:c r="L14" s="22"/>
      <x:c r="M14" s="22"/>
      <x:c r="N14" s="22"/>
      <x:c r="O14" s="22"/>
      <x:c r="P14" s="22"/>
      <x:c r="Q14" s="22"/>
      <x:c r="R14" s="22"/>
      <x:c r="S14" s="22"/>
      <x:c r="T14" s="22"/>
      <x:c r="U14" s="22"/>
      <x:c r="V14" s="22"/>
      <x:c r="W14" s="22"/>
    </x:row>
    <x:row r="15" ht="62" customHeight="1">
      <x:c r="A15" s="97" t="str">
        <x:v>T9</x:v>
      </x:c>
      <x:c r="B15" s="98" t="str">
        <x:v>Configure a representative self-check/tracking pattern using Moodle-native capability; use H5P only if the OAPA issue is resolved</x:v>
      </x:c>
      <x:c r="C15" s="98" t="str">
        <x:v>Dev 2</x:v>
      </x:c>
      <x:c r="D15" s="97" t="n">
        <x:v>120</x:v>
      </x:c>
      <x:c r="E15" s="97" t="n">
        <x:v>1</x:v>
      </x:c>
      <x:c r="F15" s="97" t="n">
        <x:v>3</x:v>
      </x:c>
      <x:c r="G15" s="97" t="n">
        <x:v>2</x:v>
      </x:c>
      <x:c r="H15" s="98" t="str">
        <x:v>T3,T7</x:v>
      </x:c>
      <x:c r="I15" s="22"/>
      <x:c r="J15" s="22"/>
      <x:c r="K15" s="22"/>
      <x:c r="L15" s="22"/>
      <x:c r="M15" s="22"/>
      <x:c r="N15" s="22"/>
      <x:c r="O15" s="22"/>
      <x:c r="P15" s="22"/>
      <x:c r="Q15" s="22"/>
      <x:c r="R15" s="22"/>
      <x:c r="S15" s="22"/>
      <x:c r="T15" s="22"/>
      <x:c r="U15" s="22"/>
      <x:c r="V15" s="22"/>
      <x:c r="W15" s="22"/>
    </x:row>
    <x:row r="16" ht="62" customHeight="1">
      <x:c r="A16" s="97" t="str">
        <x:v>T10</x:v>
      </x:c>
      <x:c r="B16" s="98" t="str">
        <x:v>Independently cross-test the course structure and progression in Student view; log defects across incomplete and returning-learner states</x:v>
      </x:c>
      <x:c r="C16" s="98" t="str">
        <x:v>Dev 2</x:v>
      </x:c>
      <x:c r="D16" s="97" t="n">
        <x:v>120</x:v>
      </x:c>
      <x:c r="E16" s="97" t="n">
        <x:v>1</x:v>
      </x:c>
      <x:c r="F16" s="97" t="n">
        <x:v>4</x:v>
      </x:c>
      <x:c r="G16" s="97" t="n">
        <x:v>2</x:v>
      </x:c>
      <x:c r="H16" s="98" t="str">
        <x:v>T8,T9</x:v>
      </x:c>
      <x:c r="I16" s="22"/>
      <x:c r="J16" s="22"/>
      <x:c r="K16" s="22"/>
      <x:c r="L16" s="22"/>
      <x:c r="M16" s="22"/>
      <x:c r="N16" s="22"/>
      <x:c r="O16" s="22"/>
      <x:c r="P16" s="22"/>
      <x:c r="Q16" s="22"/>
      <x:c r="R16" s="22"/>
      <x:c r="S16" s="22"/>
      <x:c r="T16" s="22"/>
      <x:c r="U16" s="22"/>
      <x:c r="V16" s="22"/>
      <x:c r="W16" s="22"/>
    </x:row>
    <x:row r="17" ht="62" customHeight="1">
      <x:c r="A17" s="97" t="str">
        <x:v>T11</x:v>
      </x:c>
      <x:c r="B17" s="98" t="str">
        <x:v>Run the mid-sprint client/supervisor build review and record decisions, open items and agreed follow-up actions</x:v>
      </x:c>
      <x:c r="C17" s="98" t="str">
        <x:v>PM</x:v>
      </x:c>
      <x:c r="D17" s="97" t="n">
        <x:v>120</x:v>
      </x:c>
      <x:c r="E17" s="97" t="n">
        <x:v>2</x:v>
      </x:c>
      <x:c r="F17" s="97" t="n">
        <x:v>1</x:v>
      </x:c>
      <x:c r="G17" s="97" t="n">
        <x:v>2</x:v>
      </x:c>
      <x:c r="H17" s="98" t="str">
        <x:v>T8,T10</x:v>
      </x:c>
      <x:c r="I17" s="22"/>
      <x:c r="J17" s="22"/>
      <x:c r="K17" s="22"/>
      <x:c r="L17" s="22"/>
      <x:c r="M17" s="22"/>
      <x:c r="N17" s="22"/>
      <x:c r="O17" s="22"/>
      <x:c r="P17" s="22"/>
      <x:c r="Q17" s="22"/>
      <x:c r="R17" s="22"/>
      <x:c r="S17" s="22"/>
      <x:c r="T17" s="22"/>
      <x:c r="U17" s="22"/>
      <x:c r="V17" s="22"/>
      <x:c r="W17" s="22"/>
    </x:row>
    <x:row r="18" ht="62" customHeight="1">
      <x:c r="A18" s="97" t="str">
        <x:v>T12</x:v>
      </x:c>
      <x:c r="B18" s="98" t="str">
        <x:v>Update Planner, risks and dependencies after review; raise only specific evidenced OAPA site-level requests that block approved requirements</x:v>
      </x:c>
      <x:c r="C18" s="98" t="str">
        <x:v>PM</x:v>
      </x:c>
      <x:c r="D18" s="97" t="n">
        <x:v>120</x:v>
      </x:c>
      <x:c r="E18" s="97" t="n">
        <x:v>2</x:v>
      </x:c>
      <x:c r="F18" s="97" t="n">
        <x:v>3</x:v>
      </x:c>
      <x:c r="G18" s="97" t="n">
        <x:v>3</x:v>
      </x:c>
      <x:c r="H18" s="98" t="str">
        <x:v>T11</x:v>
      </x:c>
      <x:c r="I18" s="22"/>
      <x:c r="J18" s="22"/>
      <x:c r="K18" s="22"/>
      <x:c r="L18" s="22"/>
      <x:c r="M18" s="22"/>
      <x:c r="N18" s="22"/>
      <x:c r="O18" s="22"/>
      <x:c r="P18" s="22"/>
      <x:c r="Q18" s="22"/>
      <x:c r="R18" s="22"/>
      <x:c r="S18" s="22"/>
      <x:c r="T18" s="22"/>
      <x:c r="U18" s="22"/>
      <x:c r="V18" s="22"/>
      <x:c r="W18" s="22"/>
    </x:row>
    <x:row r="19" ht="62" customHeight="1">
      <x:c r="A19" s="97" t="str">
        <x:v>T13</x:v>
      </x:c>
      <x:c r="B19" s="98" t="str">
        <x:v>Validate the Week 1 build against the Core MVP acceptance criteria and record pass/fail results, gaps and required fixes</x:v>
      </x:c>
      <x:c r="C19" s="98" t="str">
        <x:v>Business/QA</x:v>
      </x:c>
      <x:c r="D19" s="97" t="n">
        <x:v>120</x:v>
      </x:c>
      <x:c r="E19" s="97" t="n">
        <x:v>2</x:v>
      </x:c>
      <x:c r="F19" s="97" t="n">
        <x:v>1</x:v>
      </x:c>
      <x:c r="G19" s="97" t="n">
        <x:v>2</x:v>
      </x:c>
      <x:c r="H19" s="98" t="str">
        <x:v>T8,T10</x:v>
      </x:c>
      <x:c r="I19" s="22"/>
      <x:c r="J19" s="22"/>
      <x:c r="K19" s="22"/>
      <x:c r="L19" s="22"/>
      <x:c r="M19" s="22"/>
      <x:c r="N19" s="22"/>
      <x:c r="O19" s="22"/>
      <x:c r="P19" s="22"/>
      <x:c r="Q19" s="22"/>
      <x:c r="R19" s="22"/>
      <x:c r="S19" s="22"/>
      <x:c r="T19" s="22"/>
      <x:c r="U19" s="22"/>
      <x:c r="V19" s="22"/>
      <x:c r="W19" s="22"/>
    </x:row>
    <x:row r="20" ht="62" customHeight="1">
      <x:c r="A20" s="97" t="str">
        <x:v>T14</x:v>
      </x:c>
      <x:c r="B20" s="98" t="str">
        <x:v>Finalise implementation criteria for the two-of-three workshop gate, formative-to-final assessment, reporting and any approved peer-review behaviour</x:v>
      </x:c>
      <x:c r="C20" s="98" t="str">
        <x:v>Business/QA</x:v>
      </x:c>
      <x:c r="D20" s="97" t="n">
        <x:v>120</x:v>
      </x:c>
      <x:c r="E20" s="97" t="n">
        <x:v>2</x:v>
      </x:c>
      <x:c r="F20" s="97" t="n">
        <x:v>3</x:v>
      </x:c>
      <x:c r="G20" s="97" t="n">
        <x:v>2</x:v>
      </x:c>
      <x:c r="H20" s="98" t="str">
        <x:v>T13</x:v>
      </x:c>
      <x:c r="I20" s="22"/>
      <x:c r="J20" s="22"/>
      <x:c r="K20" s="22"/>
      <x:c r="L20" s="22"/>
      <x:c r="M20" s="22"/>
      <x:c r="N20" s="22"/>
      <x:c r="O20" s="22"/>
      <x:c r="P20" s="22"/>
      <x:c r="Q20" s="22"/>
      <x:c r="R20" s="22"/>
      <x:c r="S20" s="22"/>
      <x:c r="T20" s="22"/>
      <x:c r="U20" s="22"/>
      <x:c r="V20" s="22"/>
      <x:c r="W20" s="22"/>
    </x:row>
    <x:row r="21" ht="62" customHeight="1">
      <x:c r="A21" s="97" t="str">
        <x:v>T15</x:v>
      </x:c>
      <x:c r="B21" s="98" t="str">
        <x:v>Review the real Academy build against the approved learner journey and OAPA Brand Book; issue prioritised UX corrections</x:v>
      </x:c>
      <x:c r="C21" s="98" t="str">
        <x:v>UX/Research</x:v>
      </x:c>
      <x:c r="D21" s="97" t="n">
        <x:v>120</x:v>
      </x:c>
      <x:c r="E21" s="97" t="n">
        <x:v>2</x:v>
      </x:c>
      <x:c r="F21" s="97" t="n">
        <x:v>1</x:v>
      </x:c>
      <x:c r="G21" s="97" t="n">
        <x:v>2</x:v>
      </x:c>
      <x:c r="H21" s="98" t="str">
        <x:v>T8,T10</x:v>
      </x:c>
      <x:c r="I21" s="22"/>
      <x:c r="J21" s="22"/>
      <x:c r="K21" s="22"/>
      <x:c r="L21" s="22"/>
      <x:c r="M21" s="22"/>
      <x:c r="N21" s="22"/>
      <x:c r="O21" s="22"/>
      <x:c r="P21" s="22"/>
      <x:c r="Q21" s="22"/>
      <x:c r="R21" s="22"/>
      <x:c r="S21" s="22"/>
      <x:c r="T21" s="22"/>
      <x:c r="U21" s="22"/>
      <x:c r="V21" s="22"/>
      <x:c r="W21" s="22"/>
    </x:row>
    <x:row r="22" ht="62" customHeight="1">
      <x:c r="A22" s="99" t="str">
        <x:v>T16</x:v>
      </x:c>
      <x:c r="B22" s="100" t="str">
        <x:v>Run an accessibility, navigation and signposting pass on implemented flows and hand off feasible course-level corrections</x:v>
      </x:c>
      <x:c r="C22" s="98" t="str">
        <x:v>UX/Research</x:v>
      </x:c>
      <x:c r="D22" s="97" t="n">
        <x:v>120</x:v>
      </x:c>
      <x:c r="E22" s="97" t="n">
        <x:v>2</x:v>
      </x:c>
      <x:c r="F22" s="97" t="n">
        <x:v>3</x:v>
      </x:c>
      <x:c r="G22" s="97" t="n">
        <x:v>2</x:v>
      </x:c>
      <x:c r="H22" s="100" t="str">
        <x:v>T15</x:v>
      </x:c>
      <x:c r="I22" s="22"/>
      <x:c r="J22" s="22"/>
      <x:c r="K22" s="22"/>
      <x:c r="L22" s="22"/>
      <x:c r="M22" s="22"/>
      <x:c r="N22" s="22"/>
      <x:c r="O22" s="22"/>
      <x:c r="P22" s="22"/>
      <x:c r="Q22" s="22"/>
      <x:c r="R22" s="22"/>
      <x:c r="S22" s="22"/>
      <x:c r="T22" s="22"/>
      <x:c r="U22" s="22"/>
      <x:c r="V22" s="22"/>
      <x:c r="W22" s="22"/>
    </x:row>
    <x:row r="23" ht="62" customHeight="1">
      <x:c r="A23" s="101" t="str">
        <x:v>T17</x:v>
      </x:c>
      <x:c r="B23" s="102" t="str">
        <x:v>Implement Workshops 1–3 and the validated two-of-three assessment-eligibility approach, including workshop communication elements where supported</x:v>
      </x:c>
      <x:c r="C23" s="103" t="str">
        <x:v>Dev 1</x:v>
      </x:c>
      <x:c r="D23" s="104" t="n">
        <x:v>150</x:v>
      </x:c>
      <x:c r="E23" s="104" t="n">
        <x:v>2</x:v>
      </x:c>
      <x:c r="F23" s="104" t="n">
        <x:v>2</x:v>
      </x:c>
      <x:c r="G23" s="104" t="n">
        <x:v>3</x:v>
      </x:c>
      <x:c r="H23" s="102" t="str">
        <x:v>T13,T14,T15</x:v>
      </x:c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 ht="62" customHeight="1">
      <x:c r="A24" s="101" t="str">
        <x:v>T18</x:v>
      </x:c>
      <x:c r="B24" s="102" t="str">
        <x:v>Implement the representative soft-deadline feedback/revision to hard-deadline final assessment workflow, rubric and grade-visibility behaviour where feasible</x:v>
      </x:c>
      <x:c r="C24" s="103" t="str">
        <x:v>Dev 1</x:v>
      </x:c>
      <x:c r="D24" s="104" t="n">
        <x:v>90</x:v>
      </x:c>
      <x:c r="E24" s="104" t="n">
        <x:v>2</x:v>
      </x:c>
      <x:c r="F24" s="104" t="n">
        <x:v>4</x:v>
      </x:c>
      <x:c r="G24" s="104" t="n">
        <x:v>2</x:v>
      </x:c>
      <x:c r="H24" s="102" t="str">
        <x:v>T14,T17</x:v>
      </x:c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 ht="62" customHeight="1">
      <x:c r="A25" s="101" t="str">
        <x:v>T19</x:v>
      </x:c>
      <x:c r="B25" s="102" t="str">
        <x:v>Verify learner completion/progress/reporting plus workshop and assessment access rules; capture Student and staff-side evidence</x:v>
      </x:c>
      <x:c r="C25" s="103" t="str">
        <x:v>Dev 2</x:v>
      </x:c>
      <x:c r="D25" s="104" t="n">
        <x:v>120</x:v>
      </x:c>
      <x:c r="E25" s="104" t="n">
        <x:v>2</x:v>
      </x:c>
      <x:c r="F25" s="104" t="n">
        <x:v>3</x:v>
      </x:c>
      <x:c r="G25" s="104" t="n">
        <x:v>2</x:v>
      </x:c>
      <x:c r="H25" s="102" t="str">
        <x:v>T17,T18</x:v>
      </x:c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</x:row>
    <x:row r="26" ht="62" customHeight="1">
      <x:c r="A26" s="101" t="str">
        <x:v>T20</x:v>
      </x:c>
      <x:c r="B26" s="102" t="str">
        <x:v>Cross-test workshop/assessment edge cases including incomplete attendance, direct hard-deadline submission, revision, extensions and returning learners</x:v>
      </x:c>
      <x:c r="C26" s="103" t="str">
        <x:v>Dev 2</x:v>
      </x:c>
      <x:c r="D26" s="104" t="n">
        <x:v>120</x:v>
      </x:c>
      <x:c r="E26" s="104" t="n">
        <x:v>2</x:v>
      </x:c>
      <x:c r="F26" s="104" t="n">
        <x:v>4</x:v>
      </x:c>
      <x:c r="G26" s="104" t="n">
        <x:v>2</x:v>
      </x:c>
      <x:c r="H26" s="102" t="str">
        <x:v>T18,T19</x:v>
      </x:c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</x:row>
    <x:row r="27" ht="62" customHeight="1">
      <x:c r="A27" s="101" t="str">
        <x:v>T21</x:v>
      </x:c>
      <x:c r="B27" s="102" t="str">
        <x:v>Consolidate Sprint 2 evidence, decisions, defects and open site-level dependencies against the Planner and Core MVP baseline</x:v>
      </x:c>
      <x:c r="C27" s="103" t="str">
        <x:v>PM</x:v>
      </x:c>
      <x:c r="D27" s="104" t="n">
        <x:v>120</x:v>
      </x:c>
      <x:c r="E27" s="104" t="n">
        <x:v>3</x:v>
      </x:c>
      <x:c r="F27" s="104" t="n">
        <x:v>1</x:v>
      </x:c>
      <x:c r="G27" s="104" t="n">
        <x:v>2</x:v>
      </x:c>
      <x:c r="H27" s="102" t="str">
        <x:v>T17,T18,T19,T20</x:v>
      </x:c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 ht="62" customHeight="1">
      <x:c r="A28" s="101" t="str">
        <x:v>T22</x:v>
      </x:c>
      <x:c r="B28" s="102" t="str">
        <x:v>Prepare the Sprint 2 playback/client review and Sprint 3 refinement backlog/handover with every remaining action assigned</x:v>
      </x:c>
      <x:c r="C28" s="103" t="str">
        <x:v>PM</x:v>
      </x:c>
      <x:c r="D28" s="104" t="n">
        <x:v>120</x:v>
      </x:c>
      <x:c r="E28" s="104" t="n">
        <x:v>3</x:v>
      </x:c>
      <x:c r="F28" s="104" t="n">
        <x:v>3</x:v>
      </x:c>
      <x:c r="G28" s="104" t="n">
        <x:v>3</x:v>
      </x:c>
      <x:c r="H28" s="102" t="str">
        <x:v>T21</x:v>
      </x:c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 ht="62" customHeight="1">
      <x:c r="A29" s="101" t="str">
        <x:v>T23</x:v>
      </x:c>
      <x:c r="B29" s="102" t="str">
        <x:v>Run the final end-to-end acceptance review of the representative learner journey and the content-expert reuse process</x:v>
      </x:c>
      <x:c r="C29" s="103" t="str">
        <x:v>Business/QA</x:v>
      </x:c>
      <x:c r="D29" s="104" t="n">
        <x:v>120</x:v>
      </x:c>
      <x:c r="E29" s="104" t="n">
        <x:v>3</x:v>
      </x:c>
      <x:c r="F29" s="104" t="n">
        <x:v>1</x:v>
      </x:c>
      <x:c r="G29" s="104" t="n">
        <x:v>2</x:v>
      </x:c>
      <x:c r="H29" s="102" t="str">
        <x:v>T17,T18,T19,T20</x:v>
      </x:c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 ht="62" customHeight="1">
      <x:c r="A30" s="101" t="str">
        <x:v>T24</x:v>
      </x:c>
      <x:c r="B30" s="102" t="str">
        <x:v>Record final pass/fail/open gaps and prioritise accepted Sprint 3 refinements or deferred requirements without expanding Core MVP scope</x:v>
      </x:c>
      <x:c r="C30" s="103" t="str">
        <x:v>Business/QA</x:v>
      </x:c>
      <x:c r="D30" s="104" t="n">
        <x:v>120</x:v>
      </x:c>
      <x:c r="E30" s="104" t="n">
        <x:v>3</x:v>
      </x:c>
      <x:c r="F30" s="104" t="n">
        <x:v>3</x:v>
      </x:c>
      <x:c r="G30" s="104" t="n">
        <x:v>2</x:v>
      </x:c>
      <x:c r="H30" s="102" t="str">
        <x:v>T23</x:v>
      </x:c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 ht="62" customHeight="1">
      <x:c r="A31" s="101" t="str">
        <x:v>T25</x:v>
      </x:c>
      <x:c r="B31" s="102" t="str">
        <x:v>Complete the final UX/accessibility review across Course Home, modules, workshops, assessment and learner progress</x:v>
      </x:c>
      <x:c r="C31" s="103" t="str">
        <x:v>UX/Research</x:v>
      </x:c>
      <x:c r="D31" s="104" t="n">
        <x:v>120</x:v>
      </x:c>
      <x:c r="E31" s="104" t="n">
        <x:v>3</x:v>
      </x:c>
      <x:c r="F31" s="104" t="n">
        <x:v>1</x:v>
      </x:c>
      <x:c r="G31" s="104" t="n">
        <x:v>2</x:v>
      </x:c>
      <x:c r="H31" s="102" t="str">
        <x:v>T17,T18,T19,T20</x:v>
      </x:c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 ht="62" customHeight="1">
      <x:c r="A32" s="101" t="str">
        <x:v>T26</x:v>
      </x:c>
      <x:c r="B32" s="102" t="str">
        <x:v>Validate final branding/navigation consistency and prepare the UX handover for Sprint 3 refinement and final documentation</x:v>
      </x:c>
      <x:c r="C32" s="103" t="str">
        <x:v>UX/Research</x:v>
      </x:c>
      <x:c r="D32" s="104" t="n">
        <x:v>120</x:v>
      </x:c>
      <x:c r="E32" s="104" t="n">
        <x:v>3</x:v>
      </x:c>
      <x:c r="F32" s="104" t="n">
        <x:v>3</x:v>
      </x:c>
      <x:c r="G32" s="104" t="n">
        <x:v>2</x:v>
      </x:c>
      <x:c r="H32" s="102" t="str">
        <x:v>T25</x:v>
      </x:c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</x:row>
    <x:row r="33" ht="62" customHeight="1">
      <x:c r="A33" s="101" t="str">
        <x:v>T27</x:v>
      </x:c>
      <x:c r="B33" s="102" t="str">
        <x:v>Fix structural, progression, workshop and assessment defects from final acceptance/UX review and regression-test the corrected behaviours</x:v>
      </x:c>
      <x:c r="C33" s="103" t="str">
        <x:v>Dev 1</x:v>
      </x:c>
      <x:c r="D33" s="104" t="n">
        <x:v>120</x:v>
      </x:c>
      <x:c r="E33" s="104" t="n">
        <x:v>3</x:v>
      </x:c>
      <x:c r="F33" s="104" t="n">
        <x:v>2</x:v>
      </x:c>
      <x:c r="G33" s="104" t="n">
        <x:v>2</x:v>
      </x:c>
      <x:c r="H33" s="102" t="str">
        <x:v>T23,T25</x:v>
      </x:c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 ht="62" customHeight="1">
      <x:c r="A34" s="101" t="str">
        <x:v>T28</x:v>
      </x:c>
      <x:c r="B34" s="102" t="str">
        <x:v>Verify reusable-template/content-expert reuse and document the OAPA-admin duplication/site-level handoff path without altering the master pattern</x:v>
      </x:c>
      <x:c r="C34" s="103" t="str">
        <x:v>Dev 1</x:v>
      </x:c>
      <x:c r="D34" s="104" t="n">
        <x:v>120</x:v>
      </x:c>
      <x:c r="E34" s="104" t="n">
        <x:v>3</x:v>
      </x:c>
      <x:c r="F34" s="104" t="n">
        <x:v>4</x:v>
      </x:c>
      <x:c r="G34" s="104" t="n">
        <x:v>2</x:v>
      </x:c>
      <x:c r="H34" s="102" t="str">
        <x:v>T27</x:v>
      </x:c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 ht="62" customHeight="1">
      <x:c r="A35" s="101" t="str">
        <x:v>T29</x:v>
      </x:c>
      <x:c r="B35" s="102" t="str">
        <x:v>Run the final browser/device/accessibility/regression pass and independently re-test Dev 1 fixes from Student and Teacher views</x:v>
      </x:c>
      <x:c r="C35" s="103" t="str">
        <x:v>Dev 2</x:v>
      </x:c>
      <x:c r="D35" s="104" t="n">
        <x:v>120</x:v>
      </x:c>
      <x:c r="E35" s="104" t="n">
        <x:v>3</x:v>
      </x:c>
      <x:c r="F35" s="104" t="n">
        <x:v>2</x:v>
      </x:c>
      <x:c r="G35" s="104" t="n">
        <x:v>3</x:v>
      </x:c>
      <x:c r="H35" s="102" t="str">
        <x:v>T23,T25,T27</x:v>
      </x:c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</x:row>
    <x:row r="36" ht="62" customHeight="1">
      <x:c r="A36" s="101" t="str">
        <x:v>T30</x:v>
      </x:c>
      <x:c r="B36" s="102" t="str">
        <x:v>Close interactivity/tracking evidence, including current H5P status or native fallback, defect results, environment assumptions and quality handoff</x:v>
      </x:c>
      <x:c r="C36" s="103" t="str">
        <x:v>Dev 2</x:v>
      </x:c>
      <x:c r="D36" s="104" t="n">
        <x:v>120</x:v>
      </x:c>
      <x:c r="E36" s="104" t="n">
        <x:v>3</x:v>
      </x:c>
      <x:c r="F36" s="104" t="n">
        <x:v>4</x:v>
      </x:c>
      <x:c r="G36" s="104" t="n">
        <x:v>2</x:v>
      </x:c>
      <x:c r="H36" s="102" t="str">
        <x:v>T29</x:v>
      </x:c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</x:row>
  </x:sheetData>
  <x:mergeCells>
    <x:mergeCell ref="A1:W1"/>
    <x:mergeCell ref="A2:W2"/>
    <x:mergeCell ref="A4:A6"/>
    <x:mergeCell ref="B4:B6"/>
    <x:mergeCell ref="C4:C6"/>
    <x:mergeCell ref="D4:D6"/>
    <x:mergeCell ref="E4:E6"/>
    <x:mergeCell ref="F4:F6"/>
    <x:mergeCell ref="G4:G6"/>
    <x:mergeCell ref="H4:H6"/>
    <x:mergeCell ref="I4:M4"/>
    <x:mergeCell ref="N4:R4"/>
    <x:mergeCell ref="S4:W4"/>
  </x:mergeCells>
  <x:conditionalFormatting sqref="I7:W22">
    <x:cfRule type="expression" dxfId="2" priority="2">
      <x:formula>AND(I$6&gt;=($E7-1)*5+$F7,I$6&lt;=($E7-1)*5+$F7+$G7-1)</x:formula>
    </x:cfRule>
  </x:conditionalFormatting>
  <x:conditionalFormatting sqref="I7:W36">
    <x:cfRule type="expression" dxfId="3" priority="3">
      <x:formula>AND(I$6&gt;=(($E7-1)*5+$F7),I$6&lt;=(($E7-1)*5+$F7+$G7-1))</x:formula>
    </x:cfRule>
  </x:conditionalFormatting>
  <x:dataValidations count="1">
    <x:dataValidation type="list" allowBlank="1" sqref="C7:C22">
      <x:formula1>"PM,Dev 1,Dev 2,UX/Research,Business/QA"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7109375" defaultRowHeight="15"/>
  <x:cols>
    <x:col min="1" max="1" width="16" customWidth="1"/>
    <x:col min="2" max="4" width="13" customWidth="1"/>
    <x:col min="5" max="6" width="15" customWidth="1"/>
  </x:cols>
  <x:sheetData>
    <x:row r="1" ht="19.5" customHeight="1">
      <x:c r="A1" s="3" t="s">
        <x:v>37</x:v>
      </x:c>
      <x:c r="B1" s="3"/>
      <x:c r="C1" s="3"/>
      <x:c r="D1" s="3"/>
      <x:c r="E1" s="3"/>
      <x:c r="F1" s="3"/>
    </x:row>
    <x:row r="2">
      <x:c r="A2" s="2" t="s">
        <x:v>38</x:v>
      </x:c>
      <x:c r="B2" s="2"/>
      <x:c r="C2" s="2"/>
      <x:c r="D2" s="2"/>
      <x:c r="E2" s="2"/>
      <x:c r="F2" s="2"/>
    </x:row>
    <x:row r="4" ht="25.5" customHeight="1">
      <x:c r="A4" s="16" t="s">
        <x:v>39</x:v>
      </x:c>
      <x:c r="B4" s="16" t="s">
        <x:v>40</x:v>
      </x:c>
      <x:c r="C4" s="16" t="s">
        <x:v>41</x:v>
      </x:c>
      <x:c r="D4" s="16" t="s">
        <x:v>42</x:v>
      </x:c>
      <x:c r="E4" s="16" t="s">
        <x:v>43</x:v>
      </x:c>
      <x:c r="F4" s="16" t="s">
        <x:v>44</x:v>
      </x:c>
    </x:row>
    <x:row r="5">
      <x:c r="A5" s="24" t="str">
        <x:v>PM</x:v>
      </x:c>
      <x:c r="B5" s="25" t="n">
        <x:f>SUMIFS('Task Plan &amp; Gantt'!$D$7:$D$36,'Task Plan &amp; Gantt'!$C$7:$C$36,$A5,'Task Plan &amp; Gantt'!$E$7:$E$36,1)</x:f>
        <x:v>240</x:v>
      </x:c>
      <x:c r="C5" s="25" t="n">
        <x:f>SUMIFS('Task Plan &amp; Gantt'!$D$7:$D$36,'Task Plan &amp; Gantt'!$C$7:$C$36,$A5,'Task Plan &amp; Gantt'!$E$7:$E$36,2)</x:f>
        <x:v>240</x:v>
      </x:c>
      <x:c r="D5" s="25" t="n">
        <x:f>SUMIFS('Task Plan &amp; Gantt'!$D$7:$D$36,'Task Plan &amp; Gantt'!$C$7:$C$36,$A5,'Task Plan &amp; Gantt'!$E$7:$E$36,3)</x:f>
        <x:v>240</x:v>
      </x:c>
      <x:c r="E5" s="26" t="n">
        <x:f>SUM(B5:D5)</x:f>
        <x:v>720</x:v>
      </x:c>
      <x:c r="F5" s="27" t="n">
        <x:f>E5/60</x:f>
        <x:v>12</x:v>
      </x:c>
    </x:row>
    <x:row r="6">
      <x:c r="A6" s="24" t="str">
        <x:v>Dev 1</x:v>
      </x:c>
      <x:c r="B6" s="25" t="n">
        <x:f>SUMIFS('Task Plan &amp; Gantt'!$D$7:$D$36,'Task Plan &amp; Gantt'!$C$7:$C$36,$A6,'Task Plan &amp; Gantt'!$E$7:$E$36,1)</x:f>
        <x:v>240</x:v>
      </x:c>
      <x:c r="C6" s="25" t="n">
        <x:f>SUMIFS('Task Plan &amp; Gantt'!$D$7:$D$36,'Task Plan &amp; Gantt'!$C$7:$C$36,$A6,'Task Plan &amp; Gantt'!$E$7:$E$36,2)</x:f>
        <x:v>240</x:v>
      </x:c>
      <x:c r="D6" s="25" t="n">
        <x:f>SUMIFS('Task Plan &amp; Gantt'!$D$7:$D$36,'Task Plan &amp; Gantt'!$C$7:$C$36,$A6,'Task Plan &amp; Gantt'!$E$7:$E$36,3)</x:f>
        <x:v>240</x:v>
      </x:c>
      <x:c r="E6" s="26" t="n">
        <x:f>SUM(B6:D6)</x:f>
        <x:v>720</x:v>
      </x:c>
      <x:c r="F6" s="27" t="n">
        <x:f>E6/60</x:f>
        <x:v>12</x:v>
      </x:c>
    </x:row>
    <x:row r="7">
      <x:c r="A7" s="24" t="str">
        <x:v>Dev 2</x:v>
      </x:c>
      <x:c r="B7" s="25" t="n">
        <x:f>SUMIFS('Task Plan &amp; Gantt'!$D$7:$D$36,'Task Plan &amp; Gantt'!$C$7:$C$36,$A7,'Task Plan &amp; Gantt'!$E$7:$E$36,1)</x:f>
        <x:v>240</x:v>
      </x:c>
      <x:c r="C7" s="25" t="n">
        <x:f>SUMIFS('Task Plan &amp; Gantt'!$D$7:$D$36,'Task Plan &amp; Gantt'!$C$7:$C$36,$A7,'Task Plan &amp; Gantt'!$E$7:$E$36,2)</x:f>
        <x:v>240</x:v>
      </x:c>
      <x:c r="D7" s="25" t="n">
        <x:f>SUMIFS('Task Plan &amp; Gantt'!$D$7:$D$36,'Task Plan &amp; Gantt'!$C$7:$C$36,$A7,'Task Plan &amp; Gantt'!$E$7:$E$36,3)</x:f>
        <x:v>240</x:v>
      </x:c>
      <x:c r="E7" s="26" t="n">
        <x:f>SUM(B7:D7)</x:f>
        <x:v>720</x:v>
      </x:c>
      <x:c r="F7" s="27" t="n">
        <x:f>E7/60</x:f>
        <x:v>12</x:v>
      </x:c>
    </x:row>
    <x:row r="8">
      <x:c r="A8" s="24" t="str">
        <x:v>UX/Research</x:v>
      </x:c>
      <x:c r="B8" s="25" t="n">
        <x:f>SUMIFS('Task Plan &amp; Gantt'!$D$7:$D$36,'Task Plan &amp; Gantt'!$C$7:$C$36,$A8,'Task Plan &amp; Gantt'!$E$7:$E$36,1)</x:f>
        <x:v>240</x:v>
      </x:c>
      <x:c r="C8" s="25" t="n">
        <x:f>SUMIFS('Task Plan &amp; Gantt'!$D$7:$D$36,'Task Plan &amp; Gantt'!$C$7:$C$36,$A8,'Task Plan &amp; Gantt'!$E$7:$E$36,2)</x:f>
        <x:v>240</x:v>
      </x:c>
      <x:c r="D8" s="25" t="n">
        <x:f>SUMIFS('Task Plan &amp; Gantt'!$D$7:$D$36,'Task Plan &amp; Gantt'!$C$7:$C$36,$A8,'Task Plan &amp; Gantt'!$E$7:$E$36,3)</x:f>
        <x:v>240</x:v>
      </x:c>
      <x:c r="E8" s="26" t="n">
        <x:f>SUM(B8:D8)</x:f>
        <x:v>720</x:v>
      </x:c>
      <x:c r="F8" s="27" t="n">
        <x:f>E8/60</x:f>
        <x:v>12</x:v>
      </x:c>
    </x:row>
    <x:row r="9">
      <x:c r="A9" s="24" t="str">
        <x:v>Business/QA</x:v>
      </x:c>
      <x:c r="B9" s="25" t="n">
        <x:f>SUMIFS('Task Plan &amp; Gantt'!$D$7:$D$36,'Task Plan &amp; Gantt'!$C$7:$C$36,$A9,'Task Plan &amp; Gantt'!$E$7:$E$36,1)</x:f>
        <x:v>240</x:v>
      </x:c>
      <x:c r="C9" s="25" t="n">
        <x:f>SUMIFS('Task Plan &amp; Gantt'!$D$7:$D$36,'Task Plan &amp; Gantt'!$C$7:$C$36,$A9,'Task Plan &amp; Gantt'!$E$7:$E$36,2)</x:f>
        <x:v>240</x:v>
      </x:c>
      <x:c r="D9" s="25" t="n">
        <x:f>SUMIFS('Task Plan &amp; Gantt'!$D$7:$D$36,'Task Plan &amp; Gantt'!$C$7:$C$36,$A9,'Task Plan &amp; Gantt'!$E$7:$E$36,3)</x:f>
        <x:v>240</x:v>
      </x:c>
      <x:c r="E9" s="26" t="n">
        <x:f>SUM(B9:D9)</x:f>
        <x:v>720</x:v>
      </x:c>
      <x:c r="F9" s="27" t="n">
        <x:f>E9/60</x:f>
        <x:v>12</x:v>
      </x:c>
    </x:row>
    <x:row r="11" ht="27.75" customHeight="1">
      <x:c r="A11" s="1" t="s">
        <x:v>45</x:v>
      </x:c>
      <x:c r="B11" s="1"/>
      <x:c r="C11" s="1"/>
      <x:c r="D11" s="1"/>
      <x:c r="E11" s="1"/>
      <x:c r="F11" s="1"/>
    </x:row>
  </x:sheetData>
  <x:mergeCells>
    <x:mergeCell ref="A1:F1"/>
    <x:mergeCell ref="A2:F2"/>
    <x:mergeCell ref="A11:F11"/>
  </x:mergeCells>
  <x:conditionalFormatting sqref="B5:D9">
    <x:cfRule type="expression" dxfId="4" priority="1">
      <x:formula>B5&gt;=240</x:formula>
    </x:cfRule>
    <x:cfRule type="expression" dxfId="5" priority="2">
      <x:formula>B5&lt;240</x:formula>
    </x:cfRule>
  </x:conditionalFormatting>
  <x:pageMargins left="0.7" right="0.7" top="0.75" bottom="0.75" header="0.3" footer="0.3"/>
</x:worksheet>
</file>