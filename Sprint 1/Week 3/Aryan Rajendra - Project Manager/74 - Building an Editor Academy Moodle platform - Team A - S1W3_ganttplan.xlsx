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b66a635cd94f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10f290ca6b143cd"/>
    <x:sheet xmlns:r="http://schemas.openxmlformats.org/officeDocument/2006/relationships" name="Task Plan &amp; Gantt" sheetId="2" r:id="R2c4474c8a01c41ce"/>
    <x:sheet xmlns:r="http://schemas.openxmlformats.org/officeDocument/2006/relationships" name="Weekly Workload Check" sheetId="3" r:id="R5f6c63d5aaac4048"/>
  </x:sheets>
</x:workbook>
</file>

<file path=xl/sharedStrings.xml><?xml version="1.0" encoding="utf-8"?>
<x:sst xmlns:x="http://schemas.openxmlformats.org/spreadsheetml/2006/main">
  <x:si>
    <x:t xml:space="preserve">Sprint Planning — Instructions &amp; Legend</x:t>
  </x:si>
  <x:si>
    <x:t xml:space="preserve">COSC2408 Programming Project 1</x:t>
  </x:si>
  <x:si>
    <x:t xml:space="preserve">What this workbook is for</x:t>
  </x:si>
  <x:si>
    <x:t xml:space="preserve">This is the detailed HOW for next sprint — the task-by-task breakdown, owner, timing and sequencing. It is a separate deliverable from your Sprint Playback slide 7 ("What's Next"), which only states WHAT you're promising. This workbook is where that promise gets broken down into real, assigned, time-estimated tasks.</x:t>
  </x:si>
  <x:si>
    <x:t xml:space="preserve">The 240-minute rule</x:t>
  </x:si>
  <x:si>
    <x:t xml:space="preserve">Every team member must be assigned at least 240 minutes (4 hours) of tasks per week, for every week of the upcoming sprint. Estimate time at a junior-practitioner level — the same standard used for your weekly task board (e.g. a straightforward API endpoint with tests is ~30 minutes, regardless of how long it actually takes you in practice). The Weekly Workload Check tab totals this automatically and flags anyone under the minimum.</x:t>
  </x:si>
  <x:si>
    <x:t xml:space="preserve">How to use the Task Plan &amp; Gantt tab</x:t>
  </x:si>
  <x:si>
    <x:t xml:space="preserve">1.  Delete the yellow example row once you understand the format — it is not a real task.</x:t>
  </x:si>
  <x:si>
    <x:t xml:space="preserve">2.  Add one row per task: name it, assign an Owner, estimate the minutes, set the Week (1–3), the Start Day WITHIN that week (1 = Monday, 5 = Friday) and the Duration in days.</x:t>
  </x:si>
  <x:si>
    <x:t xml:space="preserve">3.  The Gantt bar on the right fills in automatically based on Start Day and Duration — you don't edit it directly.</x:t>
  </x:si>
  <x:si>
    <x:t xml:space="preserve">4.  Use Dependencies to note if a task can't start until another Task ID is done.</x:t>
  </x:si>
  <x:si>
    <x:t xml:space="preserve">5.  Update Status as the sprint progresses — this tab doubles as your working plan, not just a one-off submission.</x:t>
  </x:si>
  <x:si>
    <x:t xml:space="preserve">Editable vs computed</x:t>
  </x:si>
  <x:si>
    <x:r>
      <x:t xml:space="preserve">Only the white cells in the Task Plan &amp; Gantt tab are for you to fill in (Task ID through Status). The Gantt bars and everything on the Weekly Workload Check tab are computed automatically — don't type into them. </x:t>
    </x:r>
    <x:r>
      <x:rPr>
        <x:b/>
        <x:sz val="11"/>
        <x:color rgb="FFFF0000"/>
        <x:rFont val="Arial"/>
        <x:family val="2"/>
      </x:rPr>
      <x:t xml:space="preserve">You can change the roles by maunally typing into Column C (owner) and then using the same valueein the Weekly Workload check</x:t>
    </x:r>
  </x:si>
  <x:si>
    <x:t xml:space="preserve">Submission</x:t>
  </x:si>
  <x:si>
    <x:t xml:space="preserve">Rename this file  x - team name - S1W7_ganttplan  (e.g. 90 - Food Delivery System - S1W7_ganttplan) and submit alongside your other Week 7 files. It plans the upcoming sprint, so it's due the same week as your Playback.</x:t>
  </x:si>
  <x:si>
    <x:t xml:space="preserve">Colour key</x:t>
  </x:si>
  <x:si>
    <x:t xml:space="preserve">   Example row — delete before submitting</x:t>
  </x:si>
  <x:si>
    <x:t xml:space="preserve">   Weekly Workload Check: meets the 240-minute minimum</x:t>
  </x:si>
  <x:si>
    <x:t xml:space="preserve">   Weekly Workload Check: under the 240-minute minimum</x:t>
  </x:si>
  <x:si>
    <x:t xml:space="preserve">Team 74 — Next-Sprint Task Plan &amp; Gantt   |   Sprint 2 (Weeks 1–3)</x:t>
  </x:si>
  <x:si>
    <x:t xml:space="preserve">Every member needs ≥240 min/week. See the Instructions tab before editing.</x:t>
  </x:si>
  <x:si>
    <x:t xml:space="preserve">Task ID</x:t>
  </x:si>
  <x:si>
    <x:t xml:space="preserve">Task Name</x:t>
  </x:si>
  <x:si>
    <x:t xml:space="preserve">Owner</x:t>
  </x:si>
  <x:si>
    <x:t xml:space="preserve">Est. Minutes</x:t>
  </x:si>
  <x:si>
    <x:t xml:space="preserve">Week</x:t>
  </x:si>
  <x:si>
    <x:t xml:space="preserve">Start Day
(1=Mon–5=Fri)</x:t>
  </x:si>
  <x:si>
    <x:t xml:space="preserve">Duration (days)</x:t>
  </x:si>
  <x:si>
    <x:t xml:space="preserve">Dependencies</x:t>
  </x:si>
  <x:si>
    <x:t xml:space="preserve">Week 1</x:t>
  </x:si>
  <x:si>
    <x:t xml:space="preserve">Week 2</x:t>
  </x:si>
  <x:si>
    <x:t xml:space="preserve">Week 3</x:t>
  </x:si>
  <x:si>
    <x:t xml:space="preserve">Mon</x:t>
  </x:si>
  <x:si>
    <x:t xml:space="preserve">Tue</x:t>
  </x:si>
  <x:si>
    <x:t xml:space="preserve">Wed</x:t>
  </x:si>
  <x:si>
    <x:t xml:space="preserve">Thu</x:t>
  </x:si>
  <x:si>
    <x:t xml:space="preserve">Fri</x:t>
  </x:si>
  <x:si>
    <x:t xml:space="preserve">T31</x:t>
  </x:si>
  <x:si>
    <x:t xml:space="preserve">[SPRINT 2 GOVERNANCE &amp; IMPLEMENTATION CONTROL] - Task 31 Initialise the Sprint 2 Core MVP in Planner/Gantt; assign role tasks, evidence expectations and review checkpoints: 90</x:t>
  </x:si>
  <x:si>
    <x:t xml:space="preserve">Aryan Rajendra</x:t>
  </x:si>
  <x:si>
    <x:t xml:space="preserve">-</x:t>
  </x:si>
  <x:si>
    <x:t xml:space="preserve">T32</x:t>
  </x:si>
  <x:si>
    <x:t xml:space="preserve">[SPRINT 2 GOVERNANCE &amp; CLIENT/SUPERVISOR CONTROL] - Task 32 Update the Sprint 2 risk/decision baseline and prepare client/supervisor review plus the route for exact OAPA site-level requests: 150</x:t>
  </x:si>
  <x:si>
    <x:t xml:space="preserve">T33</x:t>
  </x:si>
  <x:si>
    <x:t xml:space="preserve">[SPRINT 2 CORE MVP REQUIREMENTS CONTROL] - Task 33 Convert the approved Core MVP acceptance criteria into build/test checks for course structure, progression, tracking and reuse: 120</x:t>
  </x:si>
  <x:si>
    <x:t xml:space="preserve">Riley Pittard</x:t>
  </x:si>
  <x:si>
    <x:t xml:space="preserve">T34</x:t>
  </x:si>
  <x:si>
    <x:t xml:space="preserve">[SPRINT 2 REQUIREMENTS &amp; DECISION CONTROL] - Task 34 Confirm and record Week 1 requirement decisions for workshops, assessment, reporting and any peer-review scope; hand off unresolved items: 120</x:t>
  </x:si>
  <x:si>
    <x:t xml:space="preserve">T35</x:t>
  </x:si>
  <x:si>
    <x:t xml:space="preserve">[SPRINT 2 UX IMPLEMENTATION HANDOFF] - Task 35 Issue the Moodle-ready UX handoff for Course Home, module layout, navigation/signposting and current OAPA Brand Book rules: 150</x:t>
  </x:si>
  <x:si>
    <x:t xml:space="preserve">Walaa Ghanduri</x:t>
  </x:si>
  <x:si>
    <x:t xml:space="preserve">T36</x:t>
  </x:si>
  <x:si>
    <x:t xml:space="preserve">[SPRINT 2 UX FEASIBILITY &amp; ACCESSIBILITY] - Task 36 Map the approved UX to real Academy constraints with development; flag theme/site-level needs and accessible course-level alternatives: 90</x:t>
  </x:si>
  <x:si>
    <x:t xml:space="preserve">T37</x:t>
  </x:si>
  <x:si>
    <x:t xml:space="preserve">[SPRINT 2 REUSABLE COURSE BUILD] - Task 37 Configure the reusable course shell in the OAPA dev course: Course Home, Modules 1–3, Workshops 1–3 and Assessment placeholders: 150</x:t>
  </x:si>
  <x:si>
    <x:t xml:space="preserve">Reshan Lahandapura</x:t>
  </x:si>
  <x:si>
    <x:t xml:space="preserve">T33,T35</x:t>
  </x:si>
  <x:si>
    <x:t xml:space="preserve">T38</x:t>
  </x:si>
  <x:si>
    <x:t xml:space="preserve">[SPRINT 2 PROGRESSION &amp; COMPLETION] - Task 38 Configure sequential completion/restricted access and the visible progress pattern; capture Student-view evidence of lock/unlock behaviour: 90</x:t>
  </x:si>
  <x:si>
    <x:t xml:space="preserve">T39</x:t>
  </x:si>
  <x:si>
    <x:t xml:space="preserve">[SPRINT 2 INTERACTIVITY &amp; TRACKING] - Task 39 Configure a representative self-check/tracking pattern using Moodle-native capability; use H5P only if the OAPA issue is resolved: 120</x:t>
  </x:si>
  <x:si>
    <x:t xml:space="preserve">Shaikh Zarin Tasnim</x:t>
  </x:si>
  <x:si>
    <x:t xml:space="preserve">T33,T37</x:t>
  </x:si>
  <x:si>
    <x:t xml:space="preserve">T40</x:t>
  </x:si>
  <x:si>
    <x:t xml:space="preserve">[SPRINT 2 CROSS-TESTING &amp; QUALITY] - Task 40 Independently cross-test the course structure and progression in Student view; log defects across incomplete and returning-learner states: 120</x:t>
  </x:si>
  <x:si>
    <x:t xml:space="preserve">T38,T39</x:t>
  </x:si>
  <x:si>
    <x:t xml:space="preserve">T41</x:t>
  </x:si>
  <x:si>
    <x:t xml:space="preserve">[SPRINT 2 BUILD REVIEW &amp; STAKEHOLDER ALIGNMENT] - Task 41 Run the mid-sprint client/supervisor build review and record decisions, open items and agreed follow-up actions: 120</x:t>
  </x:si>
  <x:si>
    <x:t xml:space="preserve">T38,T40</x:t>
  </x:si>
  <x:si>
    <x:t xml:space="preserve">T42</x:t>
  </x:si>
  <x:si>
    <x:t xml:space="preserve">[SPRINT 2 GOVERNANCE &amp; TECHNICAL ESCALATION] - Task 42 Update Planner, risks and dependencies after review; raise only specific evidenced OAPA site-level requests that block approved requirements: 120</x:t>
  </x:si>
  <x:si>
    <x:t xml:space="preserve">T43</x:t>
  </x:si>
  <x:si>
    <x:t xml:space="preserve">[SPRINT 2 CORE MVP VALIDATION] - Task 43 Validate the Week 1 build against the Core MVP acceptance criteria and record pass/fail results, gaps and required fixes: 120</x:t>
  </x:si>
  <x:si>
    <x:t xml:space="preserve">T44</x:t>
  </x:si>
  <x:si>
    <x:t xml:space="preserve">[SPRINT 2 REQUIREMENTS &amp; WORKFLOW DEFINITION] - Task 44 Finalise implementation criteria for the two-of-three workshop gate, formative-to-final assessment, reporting and any approved peer-review behaviour: 120</x:t>
  </x:si>
  <x:si>
    <x:t xml:space="preserve">T45</x:t>
  </x:si>
  <x:si>
    <x:t xml:space="preserve">[SPRINT 2 UX BUILD REVIEW] - Task 45 Review the real Academy build against the approved learner journey and OAPA Brand Book; issue prioritised UX corrections: 120</x:t>
  </x:si>
  <x:si>
    <x:t xml:space="preserve">T46</x:t>
  </x:si>
  <x:si>
    <x:t xml:space="preserve">[SPRINT 2 UX ACCESSIBILITY &amp; NAVIGATION] - Task 46 Run an accessibility, navigation and signposting pass on implemented flows and hand off feasible course-level corrections: 120</x:t>
  </x:si>
  <x:si>
    <x:t xml:space="preserve">T47</x:t>
  </x:si>
  <x:si>
    <x:t xml:space="preserve">[SPRINT 2 WORKSHOP &amp; ELIGIBILITY IMPLEMENTATION] - Task 47 Implement Workshops 1–3 and the validated two-of-three assessment-eligibility approach, including workshop communication elements where supported: 150</x:t>
  </x:si>
  <x:si>
    <x:t xml:space="preserve">T43,T44,T45</x:t>
  </x:si>
  <x:si>
    <x:t xml:space="preserve">T48</x:t>
  </x:si>
  <x:si>
    <x:t xml:space="preserve">[SPRINT 2 ASSESSMENT WORKFLOW IMPLEMENTATION] - Task 48 Implement the representative soft-deadline feedback/revision to hard-deadline final assessment workflow, rubric and grade-visibility behaviour where feasible: 90</x:t>
  </x:si>
  <x:si>
    <x:t xml:space="preserve">T49</x:t>
  </x:si>
  <x:si>
    <x:t xml:space="preserve">[SPRINT 2 TRACKING &amp; REPORTING VERIFICATION] - Task 49 Verify learner completion/progress/reporting plus workshop and assessment access rules; capture Student and staff-side evidence: 120</x:t>
  </x:si>
  <x:si>
    <x:t xml:space="preserve">T47,T48</x:t>
  </x:si>
  <x:si>
    <x:t xml:space="preserve">T50</x:t>
  </x:si>
  <x:si>
    <x:t xml:space="preserve">[SPRINT 2 WORKFLOW CROSS-TESTING &amp; EDGE CASES] - Task 50 Cross-test workshop/assessment edge cases including incomplete attendance, direct hard-deadline submission, revision, extensions and returning learners: 120</x:t>
  </x:si>
  <x:si>
    <x:t xml:space="preserve">T48,T49</x:t>
  </x:si>
  <x:si>
    <x:t xml:space="preserve">T51</x:t>
  </x:si>
  <x:si>
    <x:t xml:space="preserve">[SPRINT 2 GOVERNANCE &amp; EVIDENCE CLOSEOUT] - Task 51 Consolidate Sprint 2 evidence, decisions, defects and open site-level dependencies against the Planner and Core MVP baseline: 120</x:t>
  </x:si>
  <x:si>
    <x:t xml:space="preserve">T47,T48,T49,T50</x:t>
  </x:si>
  <x:si>
    <x:t xml:space="preserve">T52</x:t>
  </x:si>
  <x:si>
    <x:t xml:space="preserve">[SPRINT 2 PLAYBACK &amp; SPRINT 3 HANDOVER] - Task 52 Prepare the Sprint 2 playback/client review and Sprint 3 refinement backlog/handover with every remaining action assigned: 120</x:t>
  </x:si>
  <x:si>
    <x:t xml:space="preserve">T53</x:t>
  </x:si>
  <x:si>
    <x:t xml:space="preserve">[SPRINT 2 FINAL ACCEPTANCE VALIDATION] - Task 53 Run the final end-to-end acceptance review of the representative learner journey and the content-expert reuse process: 120</x:t>
  </x:si>
  <x:si>
    <x:t xml:space="preserve">T54</x:t>
  </x:si>
  <x:si>
    <x:t xml:space="preserve">[SPRINT 2 GAP &amp; REFINEMENT PRIORITISATION] - Task 54 Record final pass/fail/open gaps and prioritise accepted Sprint 3 refinements or deferred requirements without expanding Core MVP scope: 120</x:t>
  </x:si>
  <x:si>
    <x:t xml:space="preserve">T55</x:t>
  </x:si>
  <x:si>
    <x:t xml:space="preserve">[SPRINT 2 FINAL UX &amp; ACCESSIBILITY REVIEW] - Task 55 Complete the final UX/accessibility review across Course Home, modules, workshops, assessment and learner progress: 120</x:t>
  </x:si>
  <x:si>
    <x:t xml:space="preserve">T56</x:t>
  </x:si>
  <x:si>
    <x:t xml:space="preserve">[SPRINT 2 BRANDING &amp; UX HANDOVER] - Task 56 Validate final branding/navigation consistency and prepare the UX handover for Sprint 3 refinement and final documentation: 120</x:t>
  </x:si>
  <x:si>
    <x:t xml:space="preserve">T57</x:t>
  </x:si>
  <x:si>
    <x:t xml:space="preserve">[SPRINT 2 DEFECT FIXING &amp; REGRESSION] - Task 57 Fix structural, progression, workshop and assessment defects from final acceptance/UX review and regression-test the corrected behaviours: 120</x:t>
  </x:si>
  <x:si>
    <x:t xml:space="preserve">T53,T55</x:t>
  </x:si>
  <x:si>
    <x:t xml:space="preserve">T58</x:t>
  </x:si>
  <x:si>
    <x:t xml:space="preserve">[SPRINT 2 REUSE &amp; ADMIN HANDOVER] - Task 58 Verify reusable-template/content-expert reuse and document the OAPA-admin duplication/site-level handoff path without altering the master pattern: 120</x:t>
  </x:si>
  <x:si>
    <x:t xml:space="preserve">T59</x:t>
  </x:si>
  <x:si>
    <x:t xml:space="preserve">[SPRINT 2 QUALITY &amp; REGRESSION TESTING] - Task 59 Run the final browser/device/accessibility/regression pass and independently re-test Dev 1 fixes from Student and Teacher views: 120</x:t>
  </x:si>
  <x:si>
    <x:t xml:space="preserve">T53,T55,T57</x:t>
  </x:si>
  <x:si>
    <x:t xml:space="preserve">T60</x:t>
  </x:si>
  <x:si>
    <x:t xml:space="preserve">[SPRINT 2 INTERACTIVITY &amp; QUALITY CLOSEOUT] - Task 60 Close interactivity/tracking evidence, including current H5P status or native fallback, defect results, environment assumptions and quality handoff: 120</x:t>
  </x:si>
  <x:si>
    <x:t xml:space="preserve">Weekly Workload Check — 240 min (4 hrs) minimum per person, per week</x:t>
  </x:si>
  <x:si>
    <x:t xml:space="preserve">Computed automatically from the Task Plan &amp; Gantt tab. Do not edit the numbers directly.</x:t>
  </x:si>
  <x:si>
    <x:t xml:space="preserve">Role</x:t>
  </x:si>
  <x:si>
    <x:t xml:space="preserve">Week 1 (min)</x:t>
  </x:si>
  <x:si>
    <x:t xml:space="preserve">Week 2 (min)</x:t>
  </x:si>
  <x:si>
    <x:t xml:space="preserve">Week 3 (min)</x:t>
  </x:si>
  <x:si>
    <x:t xml:space="preserve">Sprint Total (min)</x:t>
  </x:si>
  <x:si>
    <x:t xml:space="preserve">Sprint Total (hrs)</x:t>
  </x:si>
  <x:si>
    <x:t xml:space="preserve">Green = meets the 240-minute weekly minimum. Red = under the minimum — rebalance tasks in the Task Plan &amp; Gantt tab.</x:t>
  </x:si>
</x:sst>
</file>

<file path=xl/styles.xml><?xml version="1.0" encoding="utf-8"?>
<x:styleSheet xmlns:x="http://schemas.openxmlformats.org/spreadsheetml/2006/main">
  <x:numFmts count="1">
    <x:numFmt numFmtId="164" formatCode="0.0"/>
  </x:numFmts>
  <x:fonts count="17">
    <x:font>
      <x:sz val="11"/>
      <x:color theme="1"/>
      <x:name val="Calibri"/>
    </x:font>
    <x:font>
      <x:b/>
      <x:sz val="16"/>
      <x:color rgb="FF1A1A1A"/>
      <x:name val="Arial"/>
    </x:font>
    <x:font>
      <x:sz val="10"/>
      <x:color rgb="FF7F7F7F"/>
      <x:name val="Arial"/>
    </x:font>
    <x:font>
      <x:b/>
      <x:sz val="12"/>
      <x:color rgb="FFE4002B"/>
      <x:name val="Arial"/>
    </x:font>
    <x:font>
      <x:sz val="11"/>
      <x:color rgb="FF1A1A1A"/>
      <x:name val="Arial"/>
    </x:font>
    <x:font>
      <x:b/>
      <x:sz val="14"/>
      <x:color rgb="FF1A1A1A"/>
      <x:name val="Arial"/>
    </x:font>
    <x:font>
      <x:i/>
      <x:sz val="10"/>
      <x:color rgb="FFE4002B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  <x:font>
      <x:sz val="8"/>
      <x:color rgb="FF7F7F7F"/>
      <x:name val="Arial"/>
    </x:font>
    <x:font>
      <x:sz val="10"/>
      <x:color rgb="FF1A1A1A"/>
      <x:name val="Arial"/>
    </x:font>
    <x:font>
      <x:b/>
      <x:sz val="13"/>
      <x:color rgb="FF1A1A1A"/>
      <x:name val="Arial"/>
    </x:font>
    <x:font>
      <x:i/>
      <x:sz val="10"/>
      <x:color rgb="FF7F7F7F"/>
      <x:name val="Arial"/>
    </x:font>
    <x:font>
      <x:b/>
      <x:sz val="10"/>
      <x:color rgb="FF1A1A1A"/>
      <x:name val="Arial"/>
    </x:font>
    <x:font>
      <x:i/>
      <x:sz val="9"/>
      <x:color rgb="FF7F7F7F"/>
      <x:name val="Arial"/>
    </x:font>
    <x:font>
      <x:sz val="11"/>
      <x:color rgb="FF1A1A1A"/>
      <x:name val="Arial"/>
    </x:font>
    <x:font>
      <x:b/>
      <x:sz val="11"/>
      <x:color rgb="FFFF0000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6CC"/>
      </x:patternFill>
    </x:fill>
    <x:fill>
      <x:patternFill patternType="solid">
        <x:fgColor rgb="FFC6EFCE"/>
      </x:patternFill>
    </x:fill>
    <x:fill>
      <x:patternFill patternType="solid">
        <x:fgColor rgb="FFFDE2E2"/>
      </x:patternFill>
    </x:fill>
    <x:fill>
      <x:patternFill patternType="solid">
        <x:fgColor rgb="FF1A1A1A"/>
      </x:patternFill>
    </x:fill>
    <x:fill>
      <x:patternFill patternType="solid">
        <x:fgColor rgb="FFE4002B"/>
      </x:patternFill>
    </x:fill>
    <x:fill>
      <x:patternFill patternType="solid">
        <x:fgColor rgb="FF7F7F7F"/>
      </x:patternFill>
    </x:fill>
    <x:fill>
      <x:patternFill patternType="solid">
        <x:fgColor rgb="FFF5F5F5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7" fillId="5" borderId="1" xfId="0" applyFont="1" applyFill="1" applyBorder="1" applyAlignment="1">
      <x:alignment horizontal="center" vertical="center" wrapText="1"/>
    </x:xf>
    <x:xf numFmtId="0" fontId="1" fillId="0" borderId="0" xfId="0" applyFont="1"/>
    <x:xf numFmtId="0" fontId="2" fillId="0" borderId="0" xfId="0" applyFont="1"/>
    <x:xf numFmtId="0" fontId="3" fillId="0" borderId="0" xfId="0" applyFont="1" applyAlignment="1">
      <x:alignment vertical="top" wrapText="1"/>
    </x:xf>
    <x:xf numFmtId="0" fontId="4" fillId="0" borderId="0" xfId="0" applyFont="1" applyAlignment="1">
      <x:alignment vertical="top" wrapText="1"/>
    </x:xf>
    <x:xf numFmtId="0" fontId="4" fillId="2" borderId="0" xfId="0" applyFont="1" applyFill="1" applyAlignment="1">
      <x:alignment vertical="center"/>
    </x:xf>
    <x:xf numFmtId="0" fontId="4" fillId="3" borderId="0" xfId="0" applyFont="1" applyFill="1" applyAlignment="1">
      <x:alignment vertical="center"/>
    </x:xf>
    <x:xf numFmtId="0" fontId="4" fillId="4" borderId="0" xfId="0" applyFont="1" applyFill="1" applyAlignment="1">
      <x:alignment vertical="center"/>
    </x:xf>
    <x:xf numFmtId="0" fontId="8" fillId="7" borderId="0" xfId="0" applyFont="1" applyFill="1" applyAlignment="1">
      <x:alignment horizontal="center" vertical="center"/>
    </x:xf>
    <x:xf numFmtId="0" fontId="9" fillId="8" borderId="1" xfId="0" applyFont="1" applyFill="1" applyBorder="1" applyAlignment="1">
      <x:alignment horizontal="center" vertical="center"/>
    </x:xf>
    <x:xf numFmtId="0" fontId="0" fillId="9" borderId="1" xfId="0" applyFill="1" applyBorder="1"/>
    <x:xf numFmtId="0" fontId="13" fillId="0" borderId="1" xfId="0" applyFont="1" applyBorder="1"/>
    <x:xf numFmtId="0" fontId="10" fillId="0" borderId="1" xfId="0" applyFont="1" applyBorder="1" applyAlignment="1">
      <x:alignment horizontal="center"/>
    </x:xf>
    <x:xf numFmtId="0" fontId="13" fillId="0" borderId="1" xfId="0" applyFont="1" applyBorder="1" applyAlignment="1">
      <x:alignment horizontal="center"/>
    </x:xf>
    <x:xf numFmtId="164" fontId="10" fillId="0" borderId="1" xfId="0" applyNumberFormat="1" applyFont="1" applyBorder="1" applyAlignment="1">
      <x:alignment horizontal="center"/>
    </x:xf>
    <x:xf numFmtId="0" fontId="15" fillId="0" borderId="0" xfId="0" applyFont="1" applyAlignment="1">
      <x:alignment vertical="top" wrapText="1"/>
    </x:xf>
    <x:xf numFmtId="0" fontId="0" fillId="9" borderId="1" xfId="0" applyFill="1" applyBorder="1" applyAlignment="1">
      <x:alignment wrapText="1"/>
    </x:xf>
    <x:xf numFmtId="0" fontId="0" fillId="9" borderId="1" xfId="0" applyFill="1" applyBorder="1" applyAlignment="1">
      <x:alignment horizontal="center" wrapText="1"/>
    </x:xf>
    <x:xf numFmtId="0" fontId="0" fillId="9" borderId="1" xfId="0" applyFill="1" applyBorder="1" applyAlignment="1">
      <x:alignment vertical="center" wrapText="1"/>
    </x:xf>
    <x:xf numFmtId="0" fontId="0" fillId="9" borderId="1" xfId="0" applyFill="1" applyBorder="1" applyAlignment="1">
      <x:alignment horizontal="center" vertical="center" wrapText="1"/>
    </x:xf>
    <x:xf numFmtId="0" fontId="10" fillId="9" borderId="1" xfId="0" applyFont="1" applyFill="1" applyBorder="1" applyAlignment="1">
      <x:alignment horizontal="center" vertical="center" wrapText="1"/>
    </x:xf>
    <x:xf numFmtId="0" fontId="10" fillId="9" borderId="1" xfId="0" applyFont="1" applyFill="1" applyBorder="1" applyAlignment="1">
      <x:alignment horizontal="left" vertical="center" wrapText="1"/>
    </x:xf>
    <x:xf numFmtId="0" fontId="0" fillId="9" borderId="0" xfId="0" applyFill="1" applyAlignment="1">
      <x:alignment horizontal="center" wrapText="1"/>
    </x:xf>
    <x:xf numFmtId="0" fontId="0" fillId="9" borderId="0" xfId="0" applyFill="1" applyAlignment="1">
      <x:alignment wrapText="1"/>
    </x:xf>
    <x:xf numFmtId="0" fontId="0" fillId="9" borderId="0" xfId="0" applyFill="1" applyAlignment="1">
      <x:alignment vertical="center" wrapText="1"/>
    </x:xf>
    <x:xf numFmtId="0" fontId="0" fillId="9" borderId="0" xfId="0" applyFill="1" applyAlignment="1">
      <x:alignment horizontal="center" vertical="center" wrapText="1"/>
    </x:xf>
    <x:xf numFmtId="0" fontId="5" fillId="0" borderId="0" xfId="0" applyFont="1"/>
    <x:xf numFmtId="0" fontId="6" fillId="0" borderId="0" xfId="0" applyFont="1"/>
    <x:xf numFmtId="0" fontId="7" fillId="5" borderId="1" xfId="0" applyFont="1" applyFill="1" applyBorder="1" applyAlignment="1">
      <x:alignment horizontal="center" vertical="center" wrapText="1"/>
    </x:xf>
    <x:xf numFmtId="0" fontId="7" fillId="6" borderId="0" xfId="0" applyFont="1" applyFill="1" applyAlignment="1">
      <x:alignment horizontal="center" vertical="center"/>
    </x:xf>
    <x:xf numFmtId="0" fontId="7" fillId="5" borderId="0" xfId="0" applyFont="1" applyFill="1" applyAlignment="1">
      <x:alignment horizontal="center" vertical="center"/>
    </x:xf>
    <x:xf numFmtId="0" fontId="11" fillId="0" borderId="0" xfId="0" applyFont="1"/>
    <x:xf numFmtId="0" fontId="12" fillId="0" borderId="0" xfId="0" applyFont="1"/>
    <x:xf numFmtId="0" fontId="14" fillId="0" borderId="0" xfId="0" applyFont="1" applyAlignment="1">
      <x:alignment vertical="top" wrapText="1"/>
    </x:xf>
  </x:cellXfs>
  <x:cellStyles count="1">
    <x:cellStyle name="Normal" xfId="0"/>
  </x:cellStyles>
  <x:dxfs count="4"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ill>
        <x:patternFill>
          <x:bgColor rgb="FFF00028"/>
        </x:patternFill>
      </x:fill>
    </x:dxf>
    <x:dxf>
      <x:fill>
        <x:patternFill>
          <x:bgColor rgb="FFE4002B"/>
        </x:patternFill>
      </x:fill>
    </x:dxf>
  </x:dxfs>
  <x:colors>
    <x:indexedColors>
      <x:rgbColor rgb="FF000000"/>
      <x:rgbColor rgb="FFFFFFFF"/>
      <x:rgbColor rgb="FFE4002B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7F7F7F"/>
      <x:rgbColor rgb="FF9999FF"/>
      <x:rgbColor rgb="FF993366"/>
      <x:rgbColor rgb="FFFFF6CC"/>
      <x:rgbColor rgb="FFF5F5F5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6EFCE"/>
      <x:rgbColor rgb="FFFFFF99"/>
      <x:rgbColor rgb="FF99CCFF"/>
      <x:rgbColor rgb="FFFF99CC"/>
      <x:rgbColor rgb="FFCC99FF"/>
      <x:rgbColor rgb="FFFDE2E2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1A1A1A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75b6fed9784618" /><Relationship Type="http://schemas.openxmlformats.org/officeDocument/2006/relationships/theme" Target="/xl/theme/theme1.xml" Id="R9ab8a48e51894ec9" /><Relationship Type="http://schemas.openxmlformats.org/officeDocument/2006/relationships/sharedStrings" Target="/xl/sharedStrings.xml" Id="R09b343ffc5e141b1" /><Relationship Type="http://schemas.openxmlformats.org/officeDocument/2006/relationships/worksheet" Target="/xl/worksheets/sheet1.xml" Id="Ra10f290ca6b143cd" /><Relationship Type="http://schemas.openxmlformats.org/officeDocument/2006/relationships/worksheet" Target="/xl/worksheets/sheet2.xml" Id="R2c4474c8a01c41ce" /><Relationship Type="http://schemas.openxmlformats.org/officeDocument/2006/relationships/worksheet" Target="/xl/worksheets/sheet3.xml" Id="R5f6c63d5aaac4048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640625" defaultRowHeight="14.399999618530273"/>
  <x:cols>
    <x:col min="1" max="1" width="3" customWidth="1"/>
    <x:col min="2" max="2" width="78" customWidth="1"/>
  </x:cols>
  <x:sheetData>
    <x:row r="2" ht="21">
      <x:c r="B2" s="2" t="s">
        <x:v>0</x:v>
      </x:c>
    </x:row>
    <x:row r="3">
      <x:c r="B3" s="3" t="s">
        <x:v>1</x:v>
      </x:c>
    </x:row>
    <x:row r="5" ht="15.600000381469727">
      <x:c r="B5" s="4" t="s">
        <x:v>2</x:v>
      </x:c>
    </x:row>
    <x:row r="6" ht="55.20000076293945">
      <x:c r="B6" s="5" t="s">
        <x:v>3</x:v>
      </x:c>
    </x:row>
    <x:row r="8" ht="15.600000381469727">
      <x:c r="B8" s="4" t="s">
        <x:v>4</x:v>
      </x:c>
    </x:row>
    <x:row r="9" ht="82.80000305175781">
      <x:c r="B9" s="5" t="s">
        <x:v>5</x:v>
      </x:c>
    </x:row>
    <x:row r="11" ht="15.600000381469727">
      <x:c r="B11" s="4" t="s">
        <x:v>6</x:v>
      </x:c>
    </x:row>
    <x:row r="12" ht="27.600000381469727">
      <x:c r="B12" s="5" t="s">
        <x:v>7</x:v>
      </x:c>
    </x:row>
    <x:row r="13" ht="41.400001525878906">
      <x:c r="B13" s="5" t="s">
        <x:v>8</x:v>
      </x:c>
    </x:row>
    <x:row r="14" ht="27.600000381469727">
      <x:c r="B14" s="5" t="s">
        <x:v>9</x:v>
      </x:c>
    </x:row>
    <x:row r="15">
      <x:c r="B15" s="5" t="s">
        <x:v>10</x:v>
      </x:c>
    </x:row>
    <x:row r="16" ht="27.600000381469727">
      <x:c r="B16" s="5" t="s">
        <x:v>11</x:v>
      </x:c>
    </x:row>
    <x:row r="18" ht="15.600000381469727">
      <x:c r="B18" s="4" t="s">
        <x:v>12</x:v>
      </x:c>
    </x:row>
    <x:row r="19" ht="69">
      <x:c r="B19" s="16" t="s">
        <x:v>13</x:v>
      </x:c>
    </x:row>
    <x:row r="21" ht="15.600000381469727">
      <x:c r="B21" s="4" t="s">
        <x:v>14</x:v>
      </x:c>
    </x:row>
    <x:row r="22" ht="41.400001525878906">
      <x:c r="B22" s="16" t="s">
        <x:v>15</x:v>
      </x:c>
    </x:row>
    <x:row r="24" ht="15.600000381469727">
      <x:c r="B24" s="4" t="s">
        <x:v>16</x:v>
      </x:c>
    </x:row>
    <x:row r="25" ht="19.5" customHeight="1">
      <x:c r="B25" s="6" t="s">
        <x:v>17</x:v>
      </x:c>
    </x:row>
    <x:row r="26" ht="19.5" customHeight="1">
      <x:c r="B26" s="7" t="s">
        <x:v>18</x:v>
      </x:c>
    </x:row>
    <x:row r="27" ht="19.5" customHeight="1">
      <x:c r="B27" s="8" t="s">
        <x:v>19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640625" defaultRowHeight="14.399999618530273"/>
  <x:cols>
    <x:col min="1" max="1" width="9" customWidth="1"/>
    <x:col min="2" max="2" width="44.33203125" customWidth="1"/>
    <x:col min="3" max="3" width="13" customWidth="1"/>
    <x:col min="4" max="4" width="11" customWidth="1"/>
    <x:col min="5" max="5" width="7" customWidth="1"/>
    <x:col min="6" max="6" width="9" customWidth="1"/>
    <x:col min="7" max="7" width="12" customWidth="1"/>
    <x:col min="8" max="8" width="15" customWidth="1"/>
    <x:col min="9" max="23" width="3.109375" customWidth="1"/>
  </x:cols>
  <x:sheetData>
    <x:row r="1" ht="21.75" customHeight="1">
      <x:c r="A1" s="27" t="s">
        <x:v>20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</x:row>
    <x:row r="2">
      <x:c r="A2" s="28" t="s">
        <x:v>21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</x:row>
    <x:row r="4" ht="15.75" customHeight="1">
      <x:c r="A4" s="29" t="s">
        <x:v>22</x:v>
      </x:c>
      <x:c r="B4" s="29" t="s">
        <x:v>23</x:v>
      </x:c>
      <x:c r="C4" s="29" t="s">
        <x:v>24</x:v>
      </x:c>
      <x:c r="D4" s="29" t="s">
        <x:v>25</x:v>
      </x:c>
      <x:c r="E4" s="29" t="s">
        <x:v>26</x:v>
      </x:c>
      <x:c r="F4" s="29" t="s">
        <x:v>27</x:v>
      </x:c>
      <x:c r="G4" s="29" t="s">
        <x:v>28</x:v>
      </x:c>
      <x:c r="H4" s="29" t="s">
        <x:v>29</x:v>
      </x:c>
      <x:c r="I4" s="30" t="s">
        <x:v>30</x:v>
      </x:c>
      <x:c r="J4" s="30"/>
      <x:c r="K4" s="30"/>
      <x:c r="L4" s="30"/>
      <x:c r="M4" s="30"/>
      <x:c r="N4" s="31" t="s">
        <x:v>31</x:v>
      </x:c>
      <x:c r="O4" s="31"/>
      <x:c r="P4" s="31"/>
      <x:c r="Q4" s="31"/>
      <x:c r="R4" s="31"/>
      <x:c r="S4" s="30" t="s">
        <x:v>32</x:v>
      </x:c>
      <x:c r="T4" s="30"/>
      <x:c r="U4" s="30"/>
      <x:c r="V4" s="30"/>
      <x:c r="W4" s="30"/>
    </x:row>
    <x:row r="5" ht="13.5" customHeight="1">
      <x:c r="A5" s="29"/>
      <x:c r="B5" s="29"/>
      <x:c r="C5" s="29"/>
      <x:c r="D5" s="29"/>
      <x:c r="E5" s="29"/>
      <x:c r="F5" s="29"/>
      <x:c r="G5" s="29"/>
      <x:c r="H5" s="29"/>
      <x:c r="I5" s="9" t="s">
        <x:v>33</x:v>
      </x:c>
      <x:c r="J5" s="9" t="s">
        <x:v>34</x:v>
      </x:c>
      <x:c r="K5" s="9" t="s">
        <x:v>35</x:v>
      </x:c>
      <x:c r="L5" s="9" t="s">
        <x:v>36</x:v>
      </x:c>
      <x:c r="M5" s="9" t="s">
        <x:v>37</x:v>
      </x:c>
      <x:c r="N5" s="9" t="s">
        <x:v>33</x:v>
      </x:c>
      <x:c r="O5" s="9" t="s">
        <x:v>34</x:v>
      </x:c>
      <x:c r="P5" s="9" t="s">
        <x:v>35</x:v>
      </x:c>
      <x:c r="Q5" s="9" t="s">
        <x:v>36</x:v>
      </x:c>
      <x:c r="R5" s="9" t="s">
        <x:v>37</x:v>
      </x:c>
      <x:c r="S5" s="9" t="s">
        <x:v>33</x:v>
      </x:c>
      <x:c r="T5" s="9" t="s">
        <x:v>34</x:v>
      </x:c>
      <x:c r="U5" s="9" t="s">
        <x:v>35</x:v>
      </x:c>
      <x:c r="V5" s="9" t="s">
        <x:v>36</x:v>
      </x:c>
      <x:c r="W5" s="9" t="s">
        <x:v>37</x:v>
      </x:c>
    </x:row>
    <x:row r="6" ht="12" customHeight="1">
      <x:c r="A6" s="29"/>
      <x:c r="B6" s="29"/>
      <x:c r="C6" s="29"/>
      <x:c r="D6" s="29"/>
      <x:c r="E6" s="29"/>
      <x:c r="F6" s="29"/>
      <x:c r="G6" s="29"/>
      <x:c r="H6" s="29"/>
      <x:c r="I6" s="10">
        <x:v>1</x:v>
      </x:c>
      <x:c r="J6" s="10">
        <x:v>2</x:v>
      </x:c>
      <x:c r="K6" s="10">
        <x:v>3</x:v>
      </x:c>
      <x:c r="L6" s="10">
        <x:v>4</x:v>
      </x:c>
      <x:c r="M6" s="10">
        <x:v>5</x:v>
      </x:c>
      <x:c r="N6" s="10">
        <x:v>6</x:v>
      </x:c>
      <x:c r="O6" s="10">
        <x:v>7</x:v>
      </x:c>
      <x:c r="P6" s="10">
        <x:v>8</x:v>
      </x:c>
      <x:c r="Q6" s="10">
        <x:v>9</x:v>
      </x:c>
      <x:c r="R6" s="10">
        <x:v>10</x:v>
      </x:c>
      <x:c r="S6" s="10">
        <x:v>11</x:v>
      </x:c>
      <x:c r="T6" s="10">
        <x:v>12</x:v>
      </x:c>
      <x:c r="U6" s="10">
        <x:v>13</x:v>
      </x:c>
      <x:c r="V6" s="10">
        <x:v>14</x:v>
      </x:c>
      <x:c r="W6" s="10">
        <x:v>15</x:v>
      </x:c>
    </x:row>
    <x:row r="7" ht="63.599998474121094" customHeight="1">
      <x:c r="A7" s="21" t="s">
        <x:v>38</x:v>
      </x:c>
      <x:c r="B7" s="22" t="s">
        <x:v>39</x:v>
      </x:c>
      <x:c r="C7" s="22" t="s">
        <x:v>40</x:v>
      </x:c>
      <x:c r="D7" s="21">
        <x:v>90</x:v>
      </x:c>
      <x:c r="E7" s="21">
        <x:v>1</x:v>
      </x:c>
      <x:c r="F7" s="21">
        <x:v>1</x:v>
      </x:c>
      <x:c r="G7" s="21">
        <x:v>1</x:v>
      </x:c>
      <x:c r="H7" s="22" t="s">
        <x:v>41</x:v>
      </x:c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</x:row>
    <x:row r="8" ht="82.19999694824219" customHeight="1">
      <x:c r="A8" s="20" t="s">
        <x:v>42</x:v>
      </x:c>
      <x:c r="B8" s="19" t="s">
        <x:v>43</x:v>
      </x:c>
      <x:c r="C8" s="19" t="s">
        <x:v>40</x:v>
      </x:c>
      <x:c r="D8" s="20">
        <x:v>150</x:v>
      </x:c>
      <x:c r="E8" s="20">
        <x:v>1</x:v>
      </x:c>
      <x:c r="F8" s="20">
        <x:v>2</x:v>
      </x:c>
      <x:c r="G8" s="20">
        <x:v>4</x:v>
      </x:c>
      <x:c r="H8" s="19" t="s">
        <x:v>38</x:v>
      </x:c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</x:row>
    <x:row r="9" ht="69.5999984741211" customHeight="1">
      <x:c r="A9" s="20" t="s">
        <x:v>44</x:v>
      </x:c>
      <x:c r="B9" s="19" t="s">
        <x:v>45</x:v>
      </x:c>
      <x:c r="C9" s="19" t="s">
        <x:v>46</x:v>
      </x:c>
      <x:c r="D9" s="20">
        <x:v>120</x:v>
      </x:c>
      <x:c r="E9" s="20">
        <x:v>1</x:v>
      </x:c>
      <x:c r="F9" s="20">
        <x:v>1</x:v>
      </x:c>
      <x:c r="G9" s="20" t="n">
        <x:v>1</x:v>
      </x:c>
      <x:c r="H9" s="19" t="s">
        <x:v>41</x:v>
      </x:c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</x:row>
    <x:row r="10" ht="75" customHeight="1">
      <x:c r="A10" s="20" t="s">
        <x:v>47</x:v>
      </x:c>
      <x:c r="B10" s="19" t="s">
        <x:v>48</x:v>
      </x:c>
      <x:c r="C10" s="19" t="s">
        <x:v>46</x:v>
      </x:c>
      <x:c r="D10" s="20">
        <x:v>120</x:v>
      </x:c>
      <x:c r="E10" s="20">
        <x:v>1</x:v>
      </x:c>
      <x:c r="F10" s="20" t="n">
        <x:v>2</x:v>
      </x:c>
      <x:c r="G10" s="20">
        <x:v>2</x:v>
      </x:c>
      <x:c r="H10" s="19" t="s">
        <x:v>44</x:v>
      </x:c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</x:row>
    <x:row r="11" ht="77.4000015258789" customHeight="1">
      <x:c r="A11" s="20" t="s">
        <x:v>49</x:v>
      </x:c>
      <x:c r="B11" s="19" t="s">
        <x:v>50</x:v>
      </x:c>
      <x:c r="C11" s="19" t="s">
        <x:v>51</x:v>
      </x:c>
      <x:c r="D11" s="20">
        <x:v>150</x:v>
      </x:c>
      <x:c r="E11" s="20">
        <x:v>1</x:v>
      </x:c>
      <x:c r="F11" s="20">
        <x:v>1</x:v>
      </x:c>
      <x:c r="G11" s="20" t="n">
        <x:v>1</x:v>
      </x:c>
      <x:c r="H11" s="19" t="s">
        <x:v>41</x:v>
      </x:c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</x:row>
    <x:row r="12" ht="69" customHeight="1">
      <x:c r="A12" s="20" t="s">
        <x:v>52</x:v>
      </x:c>
      <x:c r="B12" s="19" t="s">
        <x:v>53</x:v>
      </x:c>
      <x:c r="C12" s="19" t="s">
        <x:v>51</x:v>
      </x:c>
      <x:c r="D12" s="20">
        <x:v>90</x:v>
      </x:c>
      <x:c r="E12" s="20">
        <x:v>1</x:v>
      </x:c>
      <x:c r="F12" s="20" t="n">
        <x:v>2</x:v>
      </x:c>
      <x:c r="G12" s="20">
        <x:v>2</x:v>
      </x:c>
      <x:c r="H12" s="19" t="s">
        <x:v>49</x:v>
      </x:c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</x:row>
    <x:row r="13" ht="60" customHeight="1">
      <x:c r="A13" s="20" t="s">
        <x:v>54</x:v>
      </x:c>
      <x:c r="B13" s="19" t="s">
        <x:v>55</x:v>
      </x:c>
      <x:c r="C13" s="19" t="s">
        <x:v>56</x:v>
      </x:c>
      <x:c r="D13" s="20">
        <x:v>150</x:v>
      </x:c>
      <x:c r="E13" s="20">
        <x:v>1</x:v>
      </x:c>
      <x:c r="F13" s="20">
        <x:v>2</x:v>
      </x:c>
      <x:c r="G13" s="20" t="n">
        <x:v>1</x:v>
      </x:c>
      <x:c r="H13" s="19" t="s">
        <x:v>57</x:v>
      </x:c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</x:row>
    <x:row r="14" ht="61.79999923706055" customHeight="1">
      <x:c r="A14" s="20" t="s">
        <x:v>58</x:v>
      </x:c>
      <x:c r="B14" s="19" t="s">
        <x:v>59</x:v>
      </x:c>
      <x:c r="C14" s="19" t="s">
        <x:v>56</x:v>
      </x:c>
      <x:c r="D14" s="20">
        <x:v>90</x:v>
      </x:c>
      <x:c r="E14" s="20">
        <x:v>1</x:v>
      </x:c>
      <x:c r="F14" s="20" t="n">
        <x:v>3</x:v>
      </x:c>
      <x:c r="G14" s="20" t="n">
        <x:v>1</x:v>
      </x:c>
      <x:c r="H14" s="19" t="s">
        <x:v>54</x:v>
      </x:c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</x:row>
    <x:row r="15" ht="60" customHeight="1">
      <x:c r="A15" s="20" t="s">
        <x:v>60</x:v>
      </x:c>
      <x:c r="B15" s="19" t="s">
        <x:v>61</x:v>
      </x:c>
      <x:c r="C15" s="19" t="s">
        <x:v>62</x:v>
      </x:c>
      <x:c r="D15" s="20">
        <x:v>120</x:v>
      </x:c>
      <x:c r="E15" s="20">
        <x:v>1</x:v>
      </x:c>
      <x:c r="F15" s="20">
        <x:v>3</x:v>
      </x:c>
      <x:c r="G15" s="20" t="n">
        <x:v>1</x:v>
      </x:c>
      <x:c r="H15" s="19" t="s">
        <x:v>63</x:v>
      </x:c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</x:row>
    <x:row r="16" ht="66" customHeight="1">
      <x:c r="A16" s="20" t="s">
        <x:v>64</x:v>
      </x:c>
      <x:c r="B16" s="19" t="s">
        <x:v>65</x:v>
      </x:c>
      <x:c r="C16" s="19" t="s">
        <x:v>62</x:v>
      </x:c>
      <x:c r="D16" s="20">
        <x:v>120</x:v>
      </x:c>
      <x:c r="E16" s="20">
        <x:v>1</x:v>
      </x:c>
      <x:c r="F16" s="20">
        <x:v>4</x:v>
      </x:c>
      <x:c r="G16" s="20">
        <x:v>2</x:v>
      </x:c>
      <x:c r="H16" s="19" t="s">
        <x:v>66</x:v>
      </x:c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</x:row>
    <x:row r="17" ht="72" customHeight="1">
      <x:c r="A17" s="20" t="s">
        <x:v>67</x:v>
      </x:c>
      <x:c r="B17" s="19" t="s">
        <x:v>68</x:v>
      </x:c>
      <x:c r="C17" s="19" t="s">
        <x:v>40</x:v>
      </x:c>
      <x:c r="D17" s="20">
        <x:v>120</x:v>
      </x:c>
      <x:c r="E17" s="20">
        <x:v>2</x:v>
      </x:c>
      <x:c r="F17" s="20">
        <x:v>1</x:v>
      </x:c>
      <x:c r="G17" s="20">
        <x:v>2</x:v>
      </x:c>
      <x:c r="H17" s="19" t="s">
        <x:v>69</x:v>
      </x:c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</x:row>
    <x:row r="18" ht="64.19999694824219" customHeight="1">
      <x:c r="A18" s="20" t="s">
        <x:v>70</x:v>
      </x:c>
      <x:c r="B18" s="19" t="s">
        <x:v>71</x:v>
      </x:c>
      <x:c r="C18" s="19" t="s">
        <x:v>40</x:v>
      </x:c>
      <x:c r="D18" s="20">
        <x:v>120</x:v>
      </x:c>
      <x:c r="E18" s="20">
        <x:v>2</x:v>
      </x:c>
      <x:c r="F18" s="20">
        <x:v>3</x:v>
      </x:c>
      <x:c r="G18" s="20">
        <x:v>3</x:v>
      </x:c>
      <x:c r="H18" s="19" t="s">
        <x:v>67</x:v>
      </x:c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</x:row>
    <x:row r="19" ht="64.80000305175781" customHeight="1">
      <x:c r="A19" s="20" t="s">
        <x:v>72</x:v>
      </x:c>
      <x:c r="B19" s="19" t="s">
        <x:v>73</x:v>
      </x:c>
      <x:c r="C19" s="19" t="s">
        <x:v>46</x:v>
      </x:c>
      <x:c r="D19" s="20">
        <x:v>120</x:v>
      </x:c>
      <x:c r="E19" s="20">
        <x:v>2</x:v>
      </x:c>
      <x:c r="F19" s="20">
        <x:v>1</x:v>
      </x:c>
      <x:c r="G19" s="20" t="n">
        <x:v>1</x:v>
      </x:c>
      <x:c r="H19" s="19" t="s">
        <x:v>69</x:v>
      </x:c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</x:row>
    <x:row r="20" ht="82.19999694824219" customHeight="1">
      <x:c r="A20" s="20" t="s">
        <x:v>74</x:v>
      </x:c>
      <x:c r="B20" s="19" t="s">
        <x:v>75</x:v>
      </x:c>
      <x:c r="C20" s="19" t="s">
        <x:v>46</x:v>
      </x:c>
      <x:c r="D20" s="20">
        <x:v>120</x:v>
      </x:c>
      <x:c r="E20" s="20">
        <x:v>2</x:v>
      </x:c>
      <x:c r="F20" s="20" t="n">
        <x:v>2</x:v>
      </x:c>
      <x:c r="G20" s="20" t="n">
        <x:v>1</x:v>
      </x:c>
      <x:c r="H20" s="19" t="s">
        <x:v>72</x:v>
      </x:c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</x:row>
    <x:row r="21" ht="65.4000015258789" customHeight="1">
      <x:c r="A21" s="20" t="s">
        <x:v>76</x:v>
      </x:c>
      <x:c r="B21" s="19" t="s">
        <x:v>77</x:v>
      </x:c>
      <x:c r="C21" s="19" t="s">
        <x:v>51</x:v>
      </x:c>
      <x:c r="D21" s="20">
        <x:v>120</x:v>
      </x:c>
      <x:c r="E21" s="20">
        <x:v>2</x:v>
      </x:c>
      <x:c r="F21" s="20">
        <x:v>1</x:v>
      </x:c>
      <x:c r="G21" s="20" t="n">
        <x:v>1</x:v>
      </x:c>
      <x:c r="H21" s="19" t="s">
        <x:v>69</x:v>
      </x:c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</x:row>
    <x:row r="22" ht="65.4000015258789" customHeight="1">
      <x:c r="A22" s="18" t="s">
        <x:v>78</x:v>
      </x:c>
      <x:c r="B22" s="17" t="s">
        <x:v>79</x:v>
      </x:c>
      <x:c r="C22" s="19" t="s">
        <x:v>51</x:v>
      </x:c>
      <x:c r="D22" s="20">
        <x:v>120</x:v>
      </x:c>
      <x:c r="E22" s="20">
        <x:v>2</x:v>
      </x:c>
      <x:c r="F22" s="20" t="n">
        <x:v>2</x:v>
      </x:c>
      <x:c r="G22" s="20">
        <x:v>2</x:v>
      </x:c>
      <x:c r="H22" s="17" t="s">
        <x:v>76</x:v>
      </x:c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</x:row>
    <x:row r="23" ht="81" customHeight="1">
      <x:c r="A23" s="23" t="s">
        <x:v>80</x:v>
      </x:c>
      <x:c r="B23" s="24" t="s">
        <x:v>81</x:v>
      </x:c>
      <x:c r="C23" s="25" t="s">
        <x:v>56</x:v>
      </x:c>
      <x:c r="D23" s="26">
        <x:v>150</x:v>
      </x:c>
      <x:c r="E23" s="26">
        <x:v>2</x:v>
      </x:c>
      <x:c r="F23" s="26" t="n">
        <x:v>3</x:v>
      </x:c>
      <x:c r="G23" s="26" t="n">
        <x:v>1</x:v>
      </x:c>
      <x:c r="H23" s="24" t="s">
        <x:v>82</x:v>
      </x:c>
    </x:row>
    <x:row r="24" ht="79.80000305175781" customHeight="1">
      <x:c r="A24" s="23" t="s">
        <x:v>83</x:v>
      </x:c>
      <x:c r="B24" s="24" t="s">
        <x:v>84</x:v>
      </x:c>
      <x:c r="C24" s="25" t="s">
        <x:v>56</x:v>
      </x:c>
      <x:c r="D24" s="26">
        <x:v>90</x:v>
      </x:c>
      <x:c r="E24" s="26">
        <x:v>2</x:v>
      </x:c>
      <x:c r="F24" s="26" t="n">
        <x:v>3</x:v>
      </x:c>
      <x:c r="G24" s="26" t="n">
        <x:v>1</x:v>
      </x:c>
      <x:c r="H24" s="24" t="str">
        <x:v>T44</x:v>
      </x:c>
    </x:row>
    <x:row r="25" ht="67.80000305175781" customHeight="1">
      <x:c r="A25" s="23" t="s">
        <x:v>85</x:v>
      </x:c>
      <x:c r="B25" s="24" t="s">
        <x:v>86</x:v>
      </x:c>
      <x:c r="C25" s="25" t="s">
        <x:v>62</x:v>
      </x:c>
      <x:c r="D25" s="26">
        <x:v>120</x:v>
      </x:c>
      <x:c r="E25" s="26">
        <x:v>2</x:v>
      </x:c>
      <x:c r="F25" s="26" t="n">
        <x:v>4</x:v>
      </x:c>
      <x:c r="G25" s="26" t="n">
        <x:v>1</x:v>
      </x:c>
      <x:c r="H25" s="24" t="s">
        <x:v>87</x:v>
      </x:c>
    </x:row>
    <x:row r="26" ht="78.5999984741211" customHeight="1">
      <x:c r="A26" s="23" t="s">
        <x:v>88</x:v>
      </x:c>
      <x:c r="B26" s="24" t="s">
        <x:v>89</x:v>
      </x:c>
      <x:c r="C26" s="25" t="s">
        <x:v>62</x:v>
      </x:c>
      <x:c r="D26" s="26">
        <x:v>120</x:v>
      </x:c>
      <x:c r="E26" s="26">
        <x:v>2</x:v>
      </x:c>
      <x:c r="F26" s="26" t="n">
        <x:v>5</x:v>
      </x:c>
      <x:c r="G26" s="26" t="n">
        <x:v>1</x:v>
      </x:c>
      <x:c r="H26" s="24" t="s">
        <x:v>90</x:v>
      </x:c>
    </x:row>
    <x:row r="27" ht="65.4000015258789" customHeight="1">
      <x:c r="A27" s="23" t="s">
        <x:v>91</x:v>
      </x:c>
      <x:c r="B27" s="24" t="s">
        <x:v>92</x:v>
      </x:c>
      <x:c r="C27" s="25" t="s">
        <x:v>40</x:v>
      </x:c>
      <x:c r="D27" s="26">
        <x:v>120</x:v>
      </x:c>
      <x:c r="E27" s="26">
        <x:v>3</x:v>
      </x:c>
      <x:c r="F27" s="26">
        <x:v>1</x:v>
      </x:c>
      <x:c r="G27" s="26" t="n">
        <x:v>1</x:v>
      </x:c>
      <x:c r="H27" s="24" t="s">
        <x:v>93</x:v>
      </x:c>
    </x:row>
    <x:row r="28" ht="66.5999984741211" customHeight="1">
      <x:c r="A28" s="23" t="s">
        <x:v>94</x:v>
      </x:c>
      <x:c r="B28" s="24" t="s">
        <x:v>95</x:v>
      </x:c>
      <x:c r="C28" s="25" t="s">
        <x:v>40</x:v>
      </x:c>
      <x:c r="D28" s="26">
        <x:v>120</x:v>
      </x:c>
      <x:c r="E28" s="26">
        <x:v>3</x:v>
      </x:c>
      <x:c r="F28" s="26">
        <x:v>3</x:v>
      </x:c>
      <x:c r="G28" s="26">
        <x:v>3</x:v>
      </x:c>
      <x:c r="H28" s="24" t="s">
        <x:v>91</x:v>
      </x:c>
    </x:row>
    <x:row r="29" ht="61.79999923706055" customHeight="1">
      <x:c r="A29" s="23" t="s">
        <x:v>96</x:v>
      </x:c>
      <x:c r="B29" s="24" t="s">
        <x:v>97</x:v>
      </x:c>
      <x:c r="C29" s="25" t="s">
        <x:v>46</x:v>
      </x:c>
      <x:c r="D29" s="26">
        <x:v>120</x:v>
      </x:c>
      <x:c r="E29" s="26">
        <x:v>3</x:v>
      </x:c>
      <x:c r="F29" s="26">
        <x:v>1</x:v>
      </x:c>
      <x:c r="G29" s="26" t="n">
        <x:v>1</x:v>
      </x:c>
      <x:c r="H29" s="24" t="s">
        <x:v>93</x:v>
      </x:c>
    </x:row>
    <x:row r="30" ht="74.4000015258789" customHeight="1">
      <x:c r="A30" s="23" t="s">
        <x:v>98</x:v>
      </x:c>
      <x:c r="B30" s="24" t="s">
        <x:v>99</x:v>
      </x:c>
      <x:c r="C30" s="25" t="s">
        <x:v>46</x:v>
      </x:c>
      <x:c r="D30" s="26">
        <x:v>120</x:v>
      </x:c>
      <x:c r="E30" s="26">
        <x:v>3</x:v>
      </x:c>
      <x:c r="F30" s="26">
        <x:v>3</x:v>
      </x:c>
      <x:c r="G30" s="26">
        <x:v>2</x:v>
      </x:c>
      <x:c r="H30" s="24" t="s">
        <x:v>96</x:v>
      </x:c>
    </x:row>
    <x:row r="31" ht="65.4000015258789" customHeight="1">
      <x:c r="A31" s="23" t="s">
        <x:v>100</x:v>
      </x:c>
      <x:c r="B31" s="24" t="s">
        <x:v>101</x:v>
      </x:c>
      <x:c r="C31" s="25" t="s">
        <x:v>51</x:v>
      </x:c>
      <x:c r="D31" s="26">
        <x:v>120</x:v>
      </x:c>
      <x:c r="E31" s="26">
        <x:v>3</x:v>
      </x:c>
      <x:c r="F31" s="26">
        <x:v>1</x:v>
      </x:c>
      <x:c r="G31" s="26" t="n">
        <x:v>1</x:v>
      </x:c>
      <x:c r="H31" s="24" t="s">
        <x:v>93</x:v>
      </x:c>
    </x:row>
    <x:row r="32" ht="67.19999694824219" customHeight="1">
      <x:c r="A32" s="23" t="s">
        <x:v>102</x:v>
      </x:c>
      <x:c r="B32" s="24" t="s">
        <x:v>103</x:v>
      </x:c>
      <x:c r="C32" s="25" t="s">
        <x:v>51</x:v>
      </x:c>
      <x:c r="D32" s="26">
        <x:v>120</x:v>
      </x:c>
      <x:c r="E32" s="26">
        <x:v>3</x:v>
      </x:c>
      <x:c r="F32" s="26">
        <x:v>3</x:v>
      </x:c>
      <x:c r="G32" s="26">
        <x:v>2</x:v>
      </x:c>
      <x:c r="H32" s="24" t="s">
        <x:v>100</x:v>
      </x:c>
    </x:row>
    <x:row r="33" ht="60.599998474121094" customHeight="1">
      <x:c r="A33" s="23" t="s">
        <x:v>104</x:v>
      </x:c>
      <x:c r="B33" s="24" t="s">
        <x:v>105</x:v>
      </x:c>
      <x:c r="C33" s="25" t="s">
        <x:v>56</x:v>
      </x:c>
      <x:c r="D33" s="26">
        <x:v>120</x:v>
      </x:c>
      <x:c r="E33" s="26">
        <x:v>3</x:v>
      </x:c>
      <x:c r="F33" s="26">
        <x:v>2</x:v>
      </x:c>
      <x:c r="G33" s="26">
        <x:v>2</x:v>
      </x:c>
      <x:c r="H33" s="24" t="s">
        <x:v>106</x:v>
      </x:c>
    </x:row>
    <x:row r="34" ht="61.20000076293945" customHeight="1">
      <x:c r="A34" s="23" t="s">
        <x:v>107</x:v>
      </x:c>
      <x:c r="B34" s="24" t="s">
        <x:v>108</x:v>
      </x:c>
      <x:c r="C34" s="25" t="s">
        <x:v>56</x:v>
      </x:c>
      <x:c r="D34" s="26">
        <x:v>120</x:v>
      </x:c>
      <x:c r="E34" s="26">
        <x:v>3</x:v>
      </x:c>
      <x:c r="F34" s="26">
        <x:v>4</x:v>
      </x:c>
      <x:c r="G34" s="26">
        <x:v>2</x:v>
      </x:c>
      <x:c r="H34" s="24" t="s">
        <x:v>104</x:v>
      </x:c>
    </x:row>
    <x:row r="35" ht="72" customHeight="1">
      <x:c r="A35" s="23" t="s">
        <x:v>109</x:v>
      </x:c>
      <x:c r="B35" s="24" t="s">
        <x:v>110</x:v>
      </x:c>
      <x:c r="C35" s="25" t="s">
        <x:v>62</x:v>
      </x:c>
      <x:c r="D35" s="26">
        <x:v>120</x:v>
      </x:c>
      <x:c r="E35" s="26">
        <x:v>3</x:v>
      </x:c>
      <x:c r="F35" s="26" t="n">
        <x:v>4</x:v>
      </x:c>
      <x:c r="G35" s="26" t="n">
        <x:v>1</x:v>
      </x:c>
      <x:c r="H35" s="24" t="s">
        <x:v>111</x:v>
      </x:c>
    </x:row>
    <x:row r="36" ht="78.5999984741211" customHeight="1">
      <x:c r="A36" s="23" t="s">
        <x:v>112</x:v>
      </x:c>
      <x:c r="B36" s="24" t="s">
        <x:v>113</x:v>
      </x:c>
      <x:c r="C36" s="25" t="s">
        <x:v>62</x:v>
      </x:c>
      <x:c r="D36" s="26">
        <x:v>120</x:v>
      </x:c>
      <x:c r="E36" s="26">
        <x:v>3</x:v>
      </x:c>
      <x:c r="F36" s="26" t="n">
        <x:v>5</x:v>
      </x:c>
      <x:c r="G36" s="26" t="n">
        <x:v>1</x:v>
      </x:c>
      <x:c r="H36" s="24" t="s">
        <x:v>109</x:v>
      </x:c>
    </x:row>
  </x:sheetData>
  <x:mergeCells>
    <x:mergeCell ref="A1:W1"/>
    <x:mergeCell ref="A2:W2"/>
    <x:mergeCell ref="A4:A6"/>
    <x:mergeCell ref="B4:B6"/>
    <x:mergeCell ref="C4:C6"/>
    <x:mergeCell ref="D4:D6"/>
    <x:mergeCell ref="E4:E6"/>
    <x:mergeCell ref="F4:F6"/>
    <x:mergeCell ref="G4:G6"/>
    <x:mergeCell ref="H4:H6"/>
    <x:mergeCell ref="I4:M4"/>
    <x:mergeCell ref="N4:R4"/>
    <x:mergeCell ref="S4:W4"/>
  </x:mergeCells>
  <x:conditionalFormatting sqref="I7:W22">
    <x:cfRule type="expression" dxfId="3" priority="2">
      <x:formula>AND(I$6&gt;=($E7-1)*5+$F7,I$6&lt;=($E7-1)*5+$F7+$G7-1)</x:formula>
    </x:cfRule>
  </x:conditionalFormatting>
  <x:conditionalFormatting sqref="I7:W36">
    <x:cfRule type="expression" dxfId="2" priority="3">
      <x:formula>AND(I$6&gt;=(($E7-1)*5+$F7),I$6&lt;=(($E7-1)*5+$F7+$G7-1))</x:formula>
    </x:cfRule>
  </x:conditionalFormatting>
  <x:dataValidations count="2">
    <x:dataValidation type="list" allowBlank="1" sqref="C7:C22">
      <x:formula1>"PM,Dev 1,Dev 2,UX/Research,Business/QA"</x:formula1>
      <x:formula2>0</x:formula2>
    </x:dataValidation>
    <x:dataValidation type="list" sqref="C7:C36">
      <x:formula1>"Aryan Rajendra,Riley Pittard,Walaa Ghanduri,Reshan Lahandapura,Shaikh Zarin Tasnim"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640625" defaultRowHeight="14.399999618530273"/>
  <x:cols>
    <x:col min="1" max="1" width="24" customWidth="1"/>
    <x:col min="2" max="4" width="13" customWidth="1"/>
    <x:col min="5" max="6" width="15" customWidth="1"/>
  </x:cols>
  <x:sheetData>
    <x:row r="1" ht="19.5" customHeight="1">
      <x:c r="A1" s="32" t="s">
        <x:v>114</x:v>
      </x:c>
      <x:c r="B1" s="32"/>
      <x:c r="C1" s="32"/>
      <x:c r="D1" s="32"/>
      <x:c r="E1" s="32"/>
      <x:c r="F1" s="32"/>
    </x:row>
    <x:row r="2">
      <x:c r="A2" s="33" t="s">
        <x:v>115</x:v>
      </x:c>
      <x:c r="B2" s="33"/>
      <x:c r="C2" s="33"/>
      <x:c r="D2" s="33"/>
      <x:c r="E2" s="33"/>
      <x:c r="F2" s="33"/>
    </x:row>
    <x:row r="4" ht="25.5" customHeight="1">
      <x:c r="A4" s="1" t="s">
        <x:v>116</x:v>
      </x:c>
      <x:c r="B4" s="1" t="s">
        <x:v>117</x:v>
      </x:c>
      <x:c r="C4" s="1" t="s">
        <x:v>118</x:v>
      </x:c>
      <x:c r="D4" s="1" t="s">
        <x:v>119</x:v>
      </x:c>
      <x:c r="E4" s="1" t="s">
        <x:v>120</x:v>
      </x:c>
      <x:c r="F4" s="1" t="s">
        <x:v>121</x:v>
      </x:c>
    </x:row>
    <x:row r="5">
      <x:c r="A5" s="12" t="s">
        <x:v>40</x:v>
      </x:c>
      <x:c r="B5" s="13" t="n">
        <x:f>SUMIFS('Task Plan &amp; Gantt'!$D$7:$D$36,'Task Plan &amp; Gantt'!$C$7:$C$36,$A5,'Task Plan &amp; Gantt'!$E$7:$E$36,1)</x:f>
        <x:v>240</x:v>
      </x:c>
      <x:c r="C5" s="13" t="n">
        <x:f>SUMIFS('Task Plan &amp; Gantt'!$D$7:$D$36,'Task Plan &amp; Gantt'!$C$7:$C$36,$A5,'Task Plan &amp; Gantt'!$E$7:$E$36,2)</x:f>
        <x:v>240</x:v>
      </x:c>
      <x:c r="D5" s="13" t="n">
        <x:f>SUMIFS('Task Plan &amp; Gantt'!$D$7:$D$36,'Task Plan &amp; Gantt'!$C$7:$C$36,$A5,'Task Plan &amp; Gantt'!$E$7:$E$36,3)</x:f>
        <x:v>240</x:v>
      </x:c>
      <x:c r="E5" s="14" t="n">
        <x:f>SUM(B5:D5)</x:f>
        <x:v>720</x:v>
      </x:c>
      <x:c r="F5" s="15" t="n">
        <x:f>E5/60</x:f>
        <x:v>12</x:v>
      </x:c>
    </x:row>
    <x:row r="6">
      <x:c r="A6" s="12" t="s">
        <x:v>56</x:v>
      </x:c>
      <x:c r="B6" s="13" t="n">
        <x:f>SUMIFS('Task Plan &amp; Gantt'!$D$7:$D$36,'Task Plan &amp; Gantt'!$C$7:$C$36,$A6,'Task Plan &amp; Gantt'!$E$7:$E$36,1)</x:f>
        <x:v>240</x:v>
      </x:c>
      <x:c r="C6" s="13" t="n">
        <x:f>SUMIFS('Task Plan &amp; Gantt'!$D$7:$D$36,'Task Plan &amp; Gantt'!$C$7:$C$36,$A6,'Task Plan &amp; Gantt'!$E$7:$E$36,2)</x:f>
        <x:v>240</x:v>
      </x:c>
      <x:c r="D6" s="13" t="n">
        <x:f>SUMIFS('Task Plan &amp; Gantt'!$D$7:$D$36,'Task Plan &amp; Gantt'!$C$7:$C$36,$A6,'Task Plan &amp; Gantt'!$E$7:$E$36,3)</x:f>
        <x:v>240</x:v>
      </x:c>
      <x:c r="E6" s="14" t="n">
        <x:f>SUM(B6:D6)</x:f>
        <x:v>720</x:v>
      </x:c>
      <x:c r="F6" s="15" t="n">
        <x:f>E6/60</x:f>
        <x:v>12</x:v>
      </x:c>
    </x:row>
    <x:row r="7">
      <x:c r="A7" s="12" t="s">
        <x:v>62</x:v>
      </x:c>
      <x:c r="B7" s="13" t="n">
        <x:f>SUMIFS('Task Plan &amp; Gantt'!$D$7:$D$36,'Task Plan &amp; Gantt'!$C$7:$C$36,$A7,'Task Plan &amp; Gantt'!$E$7:$E$36,1)</x:f>
        <x:v>240</x:v>
      </x:c>
      <x:c r="C7" s="13" t="n">
        <x:f>SUMIFS('Task Plan &amp; Gantt'!$D$7:$D$36,'Task Plan &amp; Gantt'!$C$7:$C$36,$A7,'Task Plan &amp; Gantt'!$E$7:$E$36,2)</x:f>
        <x:v>240</x:v>
      </x:c>
      <x:c r="D7" s="13" t="n">
        <x:f>SUMIFS('Task Plan &amp; Gantt'!$D$7:$D$36,'Task Plan &amp; Gantt'!$C$7:$C$36,$A7,'Task Plan &amp; Gantt'!$E$7:$E$36,3)</x:f>
        <x:v>240</x:v>
      </x:c>
      <x:c r="E7" s="14" t="n">
        <x:f>SUM(B7:D7)</x:f>
        <x:v>720</x:v>
      </x:c>
      <x:c r="F7" s="15" t="n">
        <x:f>E7/60</x:f>
        <x:v>12</x:v>
      </x:c>
    </x:row>
    <x:row r="8">
      <x:c r="A8" s="12" t="s">
        <x:v>51</x:v>
      </x:c>
      <x:c r="B8" s="13" t="n">
        <x:f>SUMIFS('Task Plan &amp; Gantt'!$D$7:$D$36,'Task Plan &amp; Gantt'!$C$7:$C$36,$A8,'Task Plan &amp; Gantt'!$E$7:$E$36,1)</x:f>
        <x:v>240</x:v>
      </x:c>
      <x:c r="C8" s="13" t="n">
        <x:f>SUMIFS('Task Plan &amp; Gantt'!$D$7:$D$36,'Task Plan &amp; Gantt'!$C$7:$C$36,$A8,'Task Plan &amp; Gantt'!$E$7:$E$36,2)</x:f>
        <x:v>240</x:v>
      </x:c>
      <x:c r="D8" s="13" t="n">
        <x:f>SUMIFS('Task Plan &amp; Gantt'!$D$7:$D$36,'Task Plan &amp; Gantt'!$C$7:$C$36,$A8,'Task Plan &amp; Gantt'!$E$7:$E$36,3)</x:f>
        <x:v>240</x:v>
      </x:c>
      <x:c r="E8" s="14" t="n">
        <x:f>SUM(B8:D8)</x:f>
        <x:v>720</x:v>
      </x:c>
      <x:c r="F8" s="15" t="n">
        <x:f>E8/60</x:f>
        <x:v>12</x:v>
      </x:c>
    </x:row>
    <x:row r="9">
      <x:c r="A9" s="12" t="s">
        <x:v>46</x:v>
      </x:c>
      <x:c r="B9" s="13" t="n">
        <x:f>SUMIFS('Task Plan &amp; Gantt'!$D$7:$D$36,'Task Plan &amp; Gantt'!$C$7:$C$36,$A9,'Task Plan &amp; Gantt'!$E$7:$E$36,1)</x:f>
        <x:v>240</x:v>
      </x:c>
      <x:c r="C9" s="13" t="n">
        <x:f>SUMIFS('Task Plan &amp; Gantt'!$D$7:$D$36,'Task Plan &amp; Gantt'!$C$7:$C$36,$A9,'Task Plan &amp; Gantt'!$E$7:$E$36,2)</x:f>
        <x:v>240</x:v>
      </x:c>
      <x:c r="D9" s="13" t="n">
        <x:f>SUMIFS('Task Plan &amp; Gantt'!$D$7:$D$36,'Task Plan &amp; Gantt'!$C$7:$C$36,$A9,'Task Plan &amp; Gantt'!$E$7:$E$36,3)</x:f>
        <x:v>240</x:v>
      </x:c>
      <x:c r="E9" s="14" t="n">
        <x:f>SUM(B9:D9)</x:f>
        <x:v>720</x:v>
      </x:c>
      <x:c r="F9" s="15" t="n">
        <x:f>E9/60</x:f>
        <x:v>12</x:v>
      </x:c>
    </x:row>
    <x:row r="11" ht="27.75" customHeight="1">
      <x:c r="A11" s="34" t="s">
        <x:v>122</x:v>
      </x:c>
      <x:c r="B11" s="34"/>
      <x:c r="C11" s="34"/>
      <x:c r="D11" s="34"/>
      <x:c r="E11" s="34"/>
      <x:c r="F11" s="34"/>
    </x:row>
  </x:sheetData>
  <x:mergeCells>
    <x:mergeCell ref="A1:F1"/>
    <x:mergeCell ref="A2:F2"/>
    <x:mergeCell ref="A11:F11"/>
  </x:mergeCells>
  <x:conditionalFormatting sqref="B5:D9">
    <x:cfRule type="expression" dxfId="1" priority="1">
      <x:formula>B5&gt;=240</x:formula>
    </x:cfRule>
    <x:cfRule type="expression" dxfId="0" priority="2">
      <x:formula>B5&lt;240</x:formula>
    </x:cfRule>
  </x:conditionalFormatting>
  <x:pageMargins left="0.7" right="0.7" top="0.75" bottom="0.75" header="0.3" footer="0.3"/>
</x:worksheet>
</file>